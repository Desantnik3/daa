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600" tabRatio="600" firstSheet="0" activeTab="0" autoFilterDateGrouping="1"/>
  </bookViews>
  <sheets>
    <sheet name="ПС" sheetId="1" state="visible" r:id="rId1"/>
  </sheets>
  <definedNames>
    <definedName name="_xlnm._FilterDatabase" localSheetId="0" hidden="1">'ПС'!$AB$7:$AC$530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4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family val="2"/>
      <sz val="8"/>
      <scheme val="minor"/>
    </font>
    <font>
      <name val="Times New Roman"/>
      <charset val="204"/>
      <family val="1"/>
      <b val="1"/>
      <color theme="0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theme="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FFFFFF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204"/>
      <family val="1"/>
      <i val="1"/>
      <color theme="1"/>
      <sz val="11"/>
    </font>
    <font>
      <name val="Times New Roman"/>
      <charset val="204"/>
      <family val="1"/>
      <i val="1"/>
      <sz val="11"/>
    </font>
    <font>
      <name val="Calibri"/>
      <charset val="204"/>
      <family val="2"/>
      <i val="1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sz val="11"/>
    </font>
    <font>
      <name val="Calibri"/>
      <charset val="204"/>
      <family val="2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rgb="FFFF0000"/>
      <sz val="12"/>
    </font>
    <font>
      <name val="Times New Roman"/>
      <charset val="204"/>
      <family val="1"/>
      <b val="1"/>
      <sz val="12"/>
    </font>
    <font>
      <name val="Tahoma"/>
      <charset val="204"/>
      <family val="2"/>
      <b val="1"/>
      <color indexed="10"/>
      <sz val="14"/>
    </font>
    <font>
      <name val="Times New Roman"/>
      <charset val="204"/>
      <family val="1"/>
      <sz val="2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color rgb="FF0070C0"/>
      <sz val="14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4"/>
      <u val="single"/>
    </font>
    <font>
      <name val="Times New Roman"/>
      <charset val="204"/>
      <family val="1"/>
      <b val="1"/>
      <color theme="4" tint="-0.249977111117893"/>
      <sz val="14"/>
    </font>
    <font>
      <name val="Times New Roman"/>
      <charset val="204"/>
      <family val="1"/>
      <b val="1"/>
      <color indexed="10"/>
      <sz val="14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b val="1"/>
      <color theme="1"/>
      <sz val="16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05496"/>
        <bgColor auto="1"/>
      </patternFill>
    </fill>
    <fill>
      <patternFill patternType="solid">
        <fgColor rgb="FF8EA9DB"/>
        <bgColor auto="1"/>
      </patternFill>
    </fill>
    <fill>
      <patternFill patternType="solid">
        <fgColor rgb="FFB4C6E7"/>
        <bgColor auto="1"/>
      </patternFill>
    </fill>
    <fill>
      <patternFill patternType="solid">
        <fgColor rgb="FFD9E1F2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double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double">
        <color auto="1"/>
      </right>
      <top style="thin">
        <color theme="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</borders>
  <cellStyleXfs count="8">
    <xf numFmtId="0" fontId="3" fillId="0" borderId="0"/>
    <xf numFmtId="164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235"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2">
      <alignment horizontal="center" vertical="center"/>
    </xf>
    <xf numFmtId="0" fontId="8" fillId="0" borderId="0" pivotButton="0" quotePrefix="0" xfId="2"/>
    <xf numFmtId="0" fontId="8" fillId="0" borderId="0" applyAlignment="1" pivotButton="0" quotePrefix="0" xfId="2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4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3" borderId="0" pivotButton="0" quotePrefix="0" xfId="0"/>
    <xf numFmtId="0" fontId="7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2" fontId="18" fillId="9" borderId="1" applyAlignment="1" pivotButton="0" quotePrefix="0" xfId="0">
      <alignment horizontal="center" vertical="center"/>
    </xf>
    <xf numFmtId="2" fontId="19" fillId="10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4" fontId="22" fillId="0" borderId="6" applyAlignment="1" pivotButton="0" quotePrefix="0" xfId="0">
      <alignment horizontal="center" vertical="center" wrapText="1"/>
    </xf>
    <xf numFmtId="0" fontId="27" fillId="12" borderId="0" pivotButton="0" quotePrefix="0" xfId="0"/>
    <xf numFmtId="0" fontId="28" fillId="11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6" fillId="2" borderId="19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horizontal="center" vertical="center" wrapText="1"/>
    </xf>
    <xf numFmtId="4" fontId="8" fillId="0" borderId="0" applyAlignment="1" pivotButton="0" quotePrefix="0" xfId="2">
      <alignment horizontal="center" vertical="center"/>
    </xf>
    <xf numFmtId="4" fontId="8" fillId="0" borderId="0" applyAlignment="1" pivotButton="0" quotePrefix="0" xfId="2">
      <alignment horizontal="center"/>
    </xf>
    <xf numFmtId="0" fontId="30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30" fillId="6" borderId="10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30" fillId="7" borderId="10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 wrapText="1"/>
    </xf>
    <xf numFmtId="0" fontId="30" fillId="8" borderId="1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/>
    </xf>
    <xf numFmtId="4" fontId="18" fillId="10" borderId="1" applyAlignment="1" pivotButton="0" quotePrefix="0" xfId="0">
      <alignment horizontal="center" vertical="center"/>
    </xf>
    <xf numFmtId="0" fontId="18" fillId="10" borderId="1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/>
    </xf>
    <xf numFmtId="49" fontId="19" fillId="10" borderId="1" applyAlignment="1" pivotButton="0" quotePrefix="0" xfId="0">
      <alignment horizontal="center" vertical="center"/>
    </xf>
    <xf numFmtId="0" fontId="19" fillId="10" borderId="10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4" fontId="6" fillId="2" borderId="20" applyAlignment="1" pivotButton="0" quotePrefix="0" xfId="0">
      <alignment horizontal="center" vertical="center" wrapText="1"/>
    </xf>
    <xf numFmtId="4" fontId="6" fillId="2" borderId="2" applyAlignment="1" pivotButton="0" quotePrefix="0" xfId="0">
      <alignment horizontal="center" vertical="center" wrapText="1"/>
    </xf>
    <xf numFmtId="4" fontId="6" fillId="2" borderId="2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4" fontId="8" fillId="0" borderId="0" applyAlignment="1" pivotButton="0" quotePrefix="0" xfId="2">
      <alignment horizontal="center" vertical="center" wrapText="1"/>
    </xf>
    <xf numFmtId="0" fontId="7" fillId="16" borderId="1" pivotButton="0" quotePrefix="0" xfId="0"/>
    <xf numFmtId="0" fontId="20" fillId="16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1" applyAlignment="1" pivotButton="0" quotePrefix="0" xfId="4">
      <alignment horizontal="center" vertical="center"/>
    </xf>
    <xf numFmtId="0" fontId="20" fillId="16" borderId="10" applyAlignment="1" pivotButton="0" quotePrefix="0" xfId="0">
      <alignment horizontal="center" vertical="center" wrapText="1"/>
    </xf>
    <xf numFmtId="0" fontId="8" fillId="11" borderId="0" applyAlignment="1" pivotButton="0" quotePrefix="0" xfId="2">
      <alignment horizontal="center" vertical="center"/>
    </xf>
    <xf numFmtId="0" fontId="9" fillId="11" borderId="0" applyAlignment="1" pivotButton="0" quotePrefix="0" xfId="2">
      <alignment horizontal="center" vertical="center"/>
    </xf>
    <xf numFmtId="0" fontId="8" fillId="11" borderId="0" pivotButton="0" quotePrefix="0" xfId="2"/>
    <xf numFmtId="4" fontId="8" fillId="11" borderId="0" applyAlignment="1" pivotButton="0" quotePrefix="0" xfId="2">
      <alignment horizontal="center"/>
    </xf>
    <xf numFmtId="0" fontId="8" fillId="11" borderId="0" applyAlignment="1" pivotButton="0" quotePrefix="0" xfId="2">
      <alignment horizontal="center" vertical="center" wrapText="1"/>
    </xf>
    <xf numFmtId="4" fontId="8" fillId="11" borderId="0" applyAlignment="1" pivotButton="0" quotePrefix="0" xfId="2">
      <alignment horizontal="center" vertical="center"/>
    </xf>
    <xf numFmtId="4" fontId="8" fillId="11" borderId="0" applyAlignment="1" pivotButton="0" quotePrefix="0" xfId="2">
      <alignment horizontal="center" vertical="center" wrapText="1"/>
    </xf>
    <xf numFmtId="0" fontId="11" fillId="11" borderId="0" applyAlignment="1" pivotButton="0" quotePrefix="0" xfId="2">
      <alignment horizontal="left" vertical="center" wrapText="1"/>
    </xf>
    <xf numFmtId="4" fontId="13" fillId="4" borderId="1" applyAlignment="1" pivotButton="0" quotePrefix="0" xfId="0">
      <alignment horizontal="center" vertical="center"/>
    </xf>
    <xf numFmtId="4" fontId="14" fillId="5" borderId="1" applyAlignment="1" pivotButton="0" quotePrefix="0" xfId="0">
      <alignment horizontal="center" vertical="center"/>
    </xf>
    <xf numFmtId="4" fontId="30" fillId="6" borderId="1" applyAlignment="1" pivotButton="0" quotePrefix="0" xfId="0">
      <alignment horizontal="center" vertical="center"/>
    </xf>
    <xf numFmtId="4" fontId="30" fillId="7" borderId="1" applyAlignment="1" pivotButton="0" quotePrefix="0" xfId="0">
      <alignment horizontal="center" vertical="center"/>
    </xf>
    <xf numFmtId="4" fontId="30" fillId="8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center" vertical="center"/>
    </xf>
    <xf numFmtId="4" fontId="19" fillId="0" borderId="1" applyAlignment="1" pivotButton="0" quotePrefix="0" xfId="0">
      <alignment horizontal="center" vertical="center"/>
    </xf>
    <xf numFmtId="4" fontId="20" fillId="16" borderId="1" applyAlignment="1" pivotButton="0" quotePrefix="0" xfId="0">
      <alignment horizontal="center" vertical="center"/>
    </xf>
    <xf numFmtId="4" fontId="31" fillId="16" borderId="22" applyAlignment="1" pivotButton="0" quotePrefix="0" xfId="1">
      <alignment horizontal="center" vertical="center"/>
    </xf>
    <xf numFmtId="4" fontId="8" fillId="18" borderId="0" applyAlignment="1" pivotButton="0" quotePrefix="0" xfId="2">
      <alignment horizontal="center" vertical="center"/>
    </xf>
    <xf numFmtId="4" fontId="8" fillId="18" borderId="0" applyAlignment="1" pivotButton="0" quotePrefix="0" xfId="2">
      <alignment horizontal="center" vertical="center" wrapText="1"/>
    </xf>
    <xf numFmtId="16" fontId="8" fillId="0" borderId="0" applyAlignment="1" pivotButton="0" quotePrefix="0" xfId="2">
      <alignment horizontal="center" vertical="center"/>
    </xf>
    <xf numFmtId="0" fontId="8" fillId="18" borderId="0" applyAlignment="1" pivotButton="0" quotePrefix="0" xfId="2">
      <alignment horizontal="center" vertical="center"/>
    </xf>
    <xf numFmtId="0" fontId="9" fillId="18" borderId="0" applyAlignment="1" pivotButton="0" quotePrefix="0" xfId="2">
      <alignment horizontal="center" vertical="center"/>
    </xf>
    <xf numFmtId="0" fontId="8" fillId="17" borderId="0" applyAlignment="1" pivotButton="0" quotePrefix="0" xfId="2">
      <alignment horizontal="center" vertical="center"/>
    </xf>
    <xf numFmtId="0" fontId="9" fillId="17" borderId="0" applyAlignment="1" pivotButton="0" quotePrefix="0" xfId="2">
      <alignment horizontal="center" vertical="center"/>
    </xf>
    <xf numFmtId="4" fontId="8" fillId="19" borderId="26" applyAlignment="1" pivotButton="0" quotePrefix="0" xfId="2">
      <alignment horizontal="center" vertical="center"/>
    </xf>
    <xf numFmtId="4" fontId="8" fillId="19" borderId="27" applyAlignment="1" pivotButton="0" quotePrefix="0" xfId="2">
      <alignment horizontal="center" vertical="center"/>
    </xf>
    <xf numFmtId="4" fontId="8" fillId="19" borderId="28" applyAlignment="1" pivotButton="0" quotePrefix="0" xfId="2">
      <alignment horizontal="center" vertical="center"/>
    </xf>
    <xf numFmtId="4" fontId="8" fillId="0" borderId="26" applyAlignment="1" pivotButton="0" quotePrefix="0" xfId="2">
      <alignment horizontal="center" vertical="center"/>
    </xf>
    <xf numFmtId="4" fontId="8" fillId="0" borderId="27" applyAlignment="1" pivotButton="0" quotePrefix="0" xfId="2">
      <alignment horizontal="center" vertical="center"/>
    </xf>
    <xf numFmtId="4" fontId="8" fillId="0" borderId="28" applyAlignment="1" pivotButton="0" quotePrefix="0" xfId="2">
      <alignment horizontal="center" vertical="center"/>
    </xf>
    <xf numFmtId="49" fontId="32" fillId="0" borderId="23" applyAlignment="1" pivotButton="0" quotePrefix="0" xfId="0">
      <alignment horizontal="left" vertical="center" wrapText="1"/>
    </xf>
    <xf numFmtId="49" fontId="32" fillId="0" borderId="25" applyAlignment="1" pivotButton="0" quotePrefix="0" xfId="0">
      <alignment horizontal="left" vertical="center" wrapText="1"/>
    </xf>
    <xf numFmtId="0" fontId="41" fillId="18" borderId="24" applyAlignment="1" pivotButton="0" quotePrefix="0" xfId="2">
      <alignment horizontal="center" vertical="center" wrapText="1"/>
    </xf>
    <xf numFmtId="4" fontId="8" fillId="17" borderId="26" applyAlignment="1" pivotButton="0" quotePrefix="0" xfId="2">
      <alignment horizontal="center" vertical="center"/>
    </xf>
    <xf numFmtId="4" fontId="8" fillId="17" borderId="27" applyAlignment="1" pivotButton="0" quotePrefix="0" xfId="2">
      <alignment horizontal="center" vertical="center"/>
    </xf>
    <xf numFmtId="4" fontId="8" fillId="17" borderId="28" applyAlignment="1" pivotButton="0" quotePrefix="0" xfId="2">
      <alignment horizontal="center" vertical="center"/>
    </xf>
    <xf numFmtId="49" fontId="35" fillId="17" borderId="23" applyAlignment="1" pivotButton="0" quotePrefix="0" xfId="0">
      <alignment horizontal="center" vertical="center" wrapText="1"/>
    </xf>
    <xf numFmtId="49" fontId="35" fillId="17" borderId="25" applyAlignment="1" pivotButton="0" quotePrefix="0" xfId="0">
      <alignment horizontal="center" vertical="center" wrapText="1"/>
    </xf>
    <xf numFmtId="4" fontId="25" fillId="0" borderId="16" applyAlignment="1" pivotButton="0" quotePrefix="0" xfId="0">
      <alignment horizontal="center" vertical="center" wrapText="1"/>
    </xf>
    <xf numFmtId="4" fontId="25" fillId="0" borderId="17" applyAlignment="1" pivotButton="0" quotePrefix="0" xfId="0">
      <alignment horizontal="center" vertical="center" wrapText="1"/>
    </xf>
    <xf numFmtId="0" fontId="12" fillId="0" borderId="0" applyAlignment="1" pivotButton="0" quotePrefix="0" xfId="2">
      <alignment horizontal="center" vertical="center" wrapText="1"/>
    </xf>
    <xf numFmtId="0" fontId="12" fillId="0" borderId="0" applyAlignment="1" pivotButton="0" quotePrefix="0" xfId="2">
      <alignment horizontal="center" vertical="center"/>
    </xf>
    <xf numFmtId="2" fontId="12" fillId="0" borderId="0" applyAlignment="1" pivotButton="0" quotePrefix="0" xfId="2">
      <alignment horizontal="center" vertical="center"/>
    </xf>
    <xf numFmtId="4" fontId="12" fillId="0" borderId="0" applyAlignment="1" pivotButton="0" quotePrefix="0" xfId="2">
      <alignment horizontal="center" vertical="center"/>
    </xf>
    <xf numFmtId="49" fontId="22" fillId="0" borderId="5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 wrapText="1"/>
    </xf>
    <xf numFmtId="49" fontId="23" fillId="0" borderId="1" applyAlignment="1" pivotButton="0" quotePrefix="0" xfId="0">
      <alignment horizontal="left" vertical="center" wrapText="1"/>
    </xf>
    <xf numFmtId="49" fontId="23" fillId="0" borderId="7" applyAlignment="1" pivotButton="0" quotePrefix="0" xfId="0">
      <alignment horizontal="left" vertical="center" wrapText="1"/>
    </xf>
    <xf numFmtId="49" fontId="22" fillId="0" borderId="1" applyAlignment="1" pivotButton="0" quotePrefix="0" xfId="0">
      <alignment horizontal="center" vertical="center" wrapText="1"/>
    </xf>
    <xf numFmtId="49" fontId="22" fillId="0" borderId="7" applyAlignment="1" pivotButton="0" quotePrefix="0" xfId="0">
      <alignment horizontal="center" vertical="center" wrapText="1"/>
    </xf>
    <xf numFmtId="4" fontId="22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0" fontId="27" fillId="12" borderId="18" applyAlignment="1" pivotButton="0" quotePrefix="0" xfId="0">
      <alignment horizontal="center"/>
    </xf>
    <xf numFmtId="0" fontId="27" fillId="12" borderId="0" applyAlignment="1" pivotButton="0" quotePrefix="0" xfId="0">
      <alignment horizontal="center"/>
    </xf>
    <xf numFmtId="2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2" fontId="28" fillId="11" borderId="0" applyAlignment="1" pivotButton="0" quotePrefix="0" xfId="0">
      <alignment horizontal="center" vertical="center" wrapText="1"/>
    </xf>
    <xf numFmtId="4" fontId="28" fillId="11" borderId="0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2" fontId="29" fillId="0" borderId="0" applyAlignment="1" pivotButton="0" quotePrefix="0" xfId="0">
      <alignment horizontal="center" vertical="center" wrapText="1"/>
    </xf>
    <xf numFmtId="4" fontId="29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6">
      <alignment horizontal="center" vertical="center" wrapText="1"/>
    </xf>
    <xf numFmtId="0" fontId="20" fillId="0" borderId="15" applyAlignment="1" pivotButton="0" quotePrefix="0" xfId="6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 wrapText="1"/>
    </xf>
    <xf numFmtId="0" fontId="20" fillId="11" borderId="3" applyAlignment="1" pivotButton="0" quotePrefix="0" xfId="0">
      <alignment horizontal="center" vertical="center" wrapText="1"/>
    </xf>
    <xf numFmtId="0" fontId="20" fillId="11" borderId="9" applyAlignment="1" pivotButton="0" quotePrefix="0" xfId="0">
      <alignment horizontal="center" vertical="center" wrapText="1"/>
    </xf>
    <xf numFmtId="0" fontId="20" fillId="11" borderId="12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20" fillId="11" borderId="13" applyAlignment="1" pivotButton="0" quotePrefix="0" xfId="0">
      <alignment horizontal="center" vertical="center" wrapText="1"/>
    </xf>
    <xf numFmtId="4" fontId="24" fillId="12" borderId="5" applyAlignment="1" applyProtection="1" pivotButton="0" quotePrefix="0" xfId="0">
      <alignment horizontal="center" vertical="center"/>
      <protection locked="0" hidden="0"/>
    </xf>
    <xf numFmtId="4" fontId="24" fillId="12" borderId="1" applyAlignment="1" applyProtection="1" pivotButton="0" quotePrefix="0" xfId="0">
      <alignment horizontal="center" vertical="center"/>
      <protection locked="0" hidden="0"/>
    </xf>
    <xf numFmtId="4" fontId="24" fillId="12" borderId="16" applyAlignment="1" applyProtection="1" pivotButton="0" quotePrefix="0" xfId="0">
      <alignment horizontal="center" vertical="center"/>
      <protection locked="0" hidden="0"/>
    </xf>
    <xf numFmtId="4" fontId="22" fillId="0" borderId="5" applyAlignment="1" pivotButton="0" quotePrefix="0" xfId="0">
      <alignment horizontal="center" vertical="center" wrapText="1"/>
    </xf>
    <xf numFmtId="4" fontId="22" fillId="1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4" fontId="13" fillId="4" borderId="29" applyAlignment="1" pivotButton="0" quotePrefix="0" xfId="0">
      <alignment horizontal="left" vertical="center"/>
    </xf>
    <xf numFmtId="4" fontId="13" fillId="4" borderId="30" applyAlignment="1" pivotButton="0" quotePrefix="0" xfId="0">
      <alignment horizontal="left" vertical="center"/>
    </xf>
    <xf numFmtId="4" fontId="13" fillId="4" borderId="31" applyAlignment="1" pivotButton="0" quotePrefix="0" xfId="0">
      <alignment horizontal="left" vertical="center"/>
    </xf>
    <xf numFmtId="4" fontId="14" fillId="5" borderId="32" applyAlignment="1" pivotButton="0" quotePrefix="0" xfId="0">
      <alignment horizontal="left" vertical="center"/>
    </xf>
    <xf numFmtId="4" fontId="14" fillId="5" borderId="23" applyAlignment="1" pivotButton="0" quotePrefix="0" xfId="0">
      <alignment horizontal="left" vertical="center"/>
    </xf>
    <xf numFmtId="4" fontId="14" fillId="5" borderId="33" applyAlignment="1" pivotButton="0" quotePrefix="0" xfId="0">
      <alignment horizontal="left" vertical="center"/>
    </xf>
    <xf numFmtId="4" fontId="30" fillId="6" borderId="32" applyAlignment="1" pivotButton="0" quotePrefix="0" xfId="0">
      <alignment horizontal="center" vertical="center"/>
    </xf>
    <xf numFmtId="4" fontId="30" fillId="6" borderId="23" applyAlignment="1" pivotButton="0" quotePrefix="0" xfId="0">
      <alignment horizontal="center" vertical="center"/>
    </xf>
    <xf numFmtId="4" fontId="30" fillId="6" borderId="33" applyAlignment="1" pivotButton="0" quotePrefix="0" xfId="0">
      <alignment horizontal="center" vertical="center"/>
    </xf>
    <xf numFmtId="4" fontId="30" fillId="13" borderId="32" applyAlignment="1" pivotButton="0" quotePrefix="0" xfId="0">
      <alignment horizontal="center" vertical="center"/>
    </xf>
    <xf numFmtId="4" fontId="18" fillId="13" borderId="23" applyAlignment="1" pivotButton="0" quotePrefix="0" xfId="0">
      <alignment horizontal="center" vertical="center"/>
    </xf>
    <xf numFmtId="4" fontId="30" fillId="13" borderId="33" applyAlignment="1" pivotButton="0" quotePrefix="0" xfId="0">
      <alignment horizontal="center" vertical="center"/>
    </xf>
    <xf numFmtId="4" fontId="30" fillId="15" borderId="32" applyAlignment="1" pivotButton="0" quotePrefix="0" xfId="0">
      <alignment horizontal="center" vertical="center"/>
    </xf>
    <xf numFmtId="4" fontId="18" fillId="15" borderId="23" applyAlignment="1" pivotButton="0" quotePrefix="0" xfId="0">
      <alignment horizontal="center" vertical="center"/>
    </xf>
    <xf numFmtId="4" fontId="30" fillId="15" borderId="33" applyAlignment="1" pivotButton="0" quotePrefix="0" xfId="0">
      <alignment horizontal="center" vertical="center"/>
    </xf>
    <xf numFmtId="4" fontId="18" fillId="12" borderId="32" applyAlignment="1" pivotButton="0" quotePrefix="0" xfId="1">
      <alignment horizontal="center" vertical="center"/>
    </xf>
    <xf numFmtId="4" fontId="18" fillId="12" borderId="23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/>
    </xf>
    <xf numFmtId="4" fontId="30" fillId="13" borderId="32" applyAlignment="1" pivotButton="0" quotePrefix="0" xfId="1">
      <alignment horizontal="center" vertical="center"/>
    </xf>
    <xf numFmtId="4" fontId="18" fillId="13" borderId="23" applyAlignment="1" pivotButton="0" quotePrefix="0" xfId="1">
      <alignment horizontal="center" vertical="center"/>
    </xf>
    <xf numFmtId="4" fontId="30" fillId="15" borderId="32" applyAlignment="1" pivotButton="0" quotePrefix="0" xfId="1">
      <alignment horizontal="center" vertical="center"/>
    </xf>
    <xf numFmtId="4" fontId="18" fillId="15" borderId="23" applyAlignment="1" pivotButton="0" quotePrefix="0" xfId="1">
      <alignment horizontal="center" vertical="center"/>
    </xf>
    <xf numFmtId="4" fontId="18" fillId="9" borderId="32" applyAlignment="1" pivotButton="0" quotePrefix="0" xfId="1">
      <alignment horizontal="center" vertical="center"/>
    </xf>
    <xf numFmtId="4" fontId="18" fillId="10" borderId="32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9" fillId="0" borderId="23" applyAlignment="1" pivotButton="0" quotePrefix="0" xfId="1">
      <alignment horizontal="center" vertical="center"/>
    </xf>
    <xf numFmtId="4" fontId="19" fillId="10" borderId="32" applyAlignment="1" pivotButton="0" quotePrefix="0" xfId="1">
      <alignment horizontal="center" vertical="center"/>
    </xf>
    <xf numFmtId="4" fontId="18" fillId="0" borderId="32" applyAlignment="1" pivotButton="0" quotePrefix="0" xfId="1">
      <alignment horizontal="center" vertical="center"/>
    </xf>
    <xf numFmtId="4" fontId="30" fillId="0" borderId="33" applyAlignment="1" pivotButton="0" quotePrefix="0" xfId="0">
      <alignment horizontal="center" vertical="center"/>
    </xf>
    <xf numFmtId="4" fontId="18" fillId="13" borderId="32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 wrapText="1"/>
    </xf>
    <xf numFmtId="4" fontId="18" fillId="0" borderId="32" applyAlignment="1" pivotButton="0" quotePrefix="0" xfId="1">
      <alignment horizontal="center" vertical="center"/>
    </xf>
    <xf numFmtId="4" fontId="19" fillId="0" borderId="33" applyAlignment="1" pivotButton="0" quotePrefix="0" xfId="0">
      <alignment horizontal="center" vertical="center"/>
    </xf>
    <xf numFmtId="4" fontId="19" fillId="12" borderId="32" applyAlignment="1" pivotButton="0" quotePrefix="0" xfId="1">
      <alignment horizontal="center" vertical="center"/>
    </xf>
    <xf numFmtId="4" fontId="18" fillId="12" borderId="23" applyAlignment="1" applyProtection="1" pivotButton="0" quotePrefix="0" xfId="1">
      <alignment horizontal="center" vertical="center"/>
      <protection locked="0" hidden="0"/>
    </xf>
    <xf numFmtId="4" fontId="20" fillId="16" borderId="34" applyAlignment="1" pivotButton="0" quotePrefix="0" xfId="0">
      <alignment horizontal="left" vertical="center"/>
    </xf>
    <xf numFmtId="4" fontId="20" fillId="16" borderId="35" applyAlignment="1" pivotButton="0" quotePrefix="0" xfId="0">
      <alignment horizontal="left" vertical="center"/>
    </xf>
    <xf numFmtId="4" fontId="31" fillId="16" borderId="35" applyAlignment="1" pivotButton="0" quotePrefix="0" xfId="1">
      <alignment horizontal="center" vertical="center"/>
    </xf>
    <xf numFmtId="4" fontId="31" fillId="16" borderId="36" applyAlignment="1" pivotButton="0" quotePrefix="0" xfId="1">
      <alignment horizontal="center" vertical="center"/>
    </xf>
    <xf numFmtId="4" fontId="20" fillId="16" borderId="37" applyAlignment="1" pivotButton="0" quotePrefix="0" xfId="0">
      <alignment horizontal="left" vertical="center"/>
    </xf>
    <xf numFmtId="4" fontId="18" fillId="0" borderId="38" applyAlignment="1" pivotButton="0" quotePrefix="0" xfId="1">
      <alignment horizontal="center" vertical="center"/>
    </xf>
    <xf numFmtId="0" fontId="20" fillId="11" borderId="46" applyAlignment="1" pivotButton="0" quotePrefix="0" xfId="0">
      <alignment horizontal="center" vertical="center" wrapText="1"/>
    </xf>
    <xf numFmtId="0" fontId="20" fillId="11" borderId="43" applyAlignment="1" pivotButton="0" quotePrefix="0" xfId="0">
      <alignment horizontal="center" vertical="center" wrapText="1"/>
    </xf>
    <xf numFmtId="0" fontId="20" fillId="11" borderId="45" applyAlignment="1" pivotButton="0" quotePrefix="0" xfId="0">
      <alignment horizontal="center" vertical="center" wrapText="1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9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39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41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42" pivotButton="0" quotePrefix="0" xfId="0"/>
    <xf numFmtId="0" fontId="0" fillId="0" borderId="57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63" pivotButton="0" quotePrefix="0" xfId="0"/>
    <xf numFmtId="4" fontId="8" fillId="19" borderId="64" applyAlignment="1" pivotButton="0" quotePrefix="0" xfId="2">
      <alignment horizontal="center" vertical="center"/>
    </xf>
    <xf numFmtId="0" fontId="0" fillId="0" borderId="28" pivotButton="0" quotePrefix="0" xfId="0"/>
    <xf numFmtId="4" fontId="8" fillId="17" borderId="64" applyAlignment="1" pivotButton="0" quotePrefix="0" xfId="2">
      <alignment horizontal="center" vertical="center"/>
    </xf>
    <xf numFmtId="4" fontId="8" fillId="0" borderId="64" applyAlignment="1" pivotButton="0" quotePrefix="0" xfId="2">
      <alignment horizontal="center" vertical="center"/>
    </xf>
  </cellXfs>
  <cellStyles count="8">
    <cellStyle name="Обычный" xfId="0" builtinId="0"/>
    <cellStyle name="Финансовый" xfId="1" builtinId="3"/>
    <cellStyle name="Обычный 11" xfId="2"/>
    <cellStyle name="Обычный 4" xfId="3"/>
    <cellStyle name="Обычный 2" xfId="4"/>
    <cellStyle name="Обычный 2 3" xfId="5"/>
    <cellStyle name="Обычный 3" xfId="6"/>
    <cellStyle name="Финансовый 7" xfId="7"/>
  </cellStyles>
  <dxfs count="902"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Величкин Сергей Викторович</author>
  </authors>
  <commentList>
    <comment ref="AB5" authorId="0" shapeId="0">
      <text>
        <t>Указать Наименование организации и ИНН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H573"/>
  <sheetViews>
    <sheetView tabSelected="1" topLeftCell="M1" zoomScale="70" zoomScaleNormal="70" workbookViewId="0">
      <selection activeCell="AD14" sqref="AD14"/>
    </sheetView>
  </sheetViews>
  <sheetFormatPr baseColWidth="8" defaultColWidth="9.140625" defaultRowHeight="15" outlineLevelRow="1"/>
  <cols>
    <col hidden="1" width="13" customWidth="1" style="1" min="1" max="1"/>
    <col hidden="1" outlineLevel="1" width="9.140625" customWidth="1" style="1" min="2" max="9"/>
    <col collapsed="1" width="13.42578125" bestFit="1" customWidth="1" style="2" min="10" max="10"/>
    <col hidden="1" outlineLevel="1" width="10.42578125" customWidth="1" style="2" min="11" max="11"/>
    <col hidden="1" outlineLevel="1" width="13.85546875" customWidth="1" style="9" min="12" max="12"/>
    <col collapsed="1" width="94.42578125" customWidth="1" style="4" min="13" max="13"/>
    <col width="9.42578125" customWidth="1" style="2" min="14" max="14"/>
    <col width="10.42578125" customWidth="1" style="36" min="15" max="15"/>
    <col hidden="1" outlineLevel="1" width="8.85546875" customWidth="1" style="3" min="16" max="22"/>
    <col collapsed="1" width="13.28515625" customWidth="1" style="36" min="23" max="23"/>
    <col width="15.7109375" bestFit="1" customWidth="1" style="3" min="24" max="25"/>
    <col width="17.5703125" bestFit="1" customWidth="1" style="3" min="26" max="26"/>
    <col width="25.28515625" bestFit="1" customWidth="1" style="19" min="27" max="27"/>
    <col width="16.7109375" customWidth="1" style="35" min="28" max="28"/>
    <col width="17.5703125" customWidth="1" style="35" min="29" max="32"/>
    <col width="20.7109375" customWidth="1" style="35" min="33" max="33"/>
    <col width="42.140625" customWidth="1" style="74" min="34" max="34"/>
    <col width="9.140625" customWidth="1" style="1" min="35" max="16384"/>
  </cols>
  <sheetData>
    <row r="1" ht="33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133" t="inlineStr">
        <is>
          <t>Ячейки обязательные к заполнению выделены зеленым цветом:</t>
        </is>
      </c>
    </row>
    <row r="2" ht="28.5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138" t="inlineStr">
        <is>
          <t>В позициях, выделенных ЖЕЛТЫМ цветом - стоимость основного материала не учитывать (стоимость будет указана Заказчиком позже - подписано соглашение с производителем).</t>
        </is>
      </c>
    </row>
    <row r="3" ht="32.25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142" t="inlineStr">
        <is>
          <t>Для позиции СМР в столбце МАТЕРИАЛ необходимо учесть стоимость сопутствующих материалов для выполнения указанных видов работ (в примечании указать, какие материалы включены)</t>
        </is>
      </c>
    </row>
    <row r="4" ht="79.5" customHeight="1">
      <c r="J4" s="121" t="inlineStr">
        <is>
          <t xml:space="preserve">Устройство внутренних инженерных систем электроснабжения и освещения, слаботочных систем на объекте строительства: ««Многофункциональный жилой комплекс "Амбер Сити" с подземной автостоянкой по адресу: г. Москва, САО, 3-й Хорошевский пр., вл. 3А (1 очередь строительства, корпуса К4, К5, К6)» </t>
        </is>
      </c>
    </row>
    <row r="5" ht="47.25" customFormat="1" customHeight="1" s="5">
      <c r="J5" s="125" t="inlineStr">
        <is>
          <t>№ п/п</t>
        </is>
      </c>
      <c r="K5" s="129" t="inlineStr">
        <is>
          <t>Уровень КВР</t>
        </is>
      </c>
      <c r="L5" s="129" t="inlineStr">
        <is>
          <t>Код позиции в КВР</t>
        </is>
      </c>
      <c r="M5" s="127" t="inlineStr">
        <is>
          <t>Наименование работ</t>
        </is>
      </c>
      <c r="N5" s="162" t="inlineStr">
        <is>
          <t xml:space="preserve"> Ед. Изм. </t>
        </is>
      </c>
      <c r="O5" s="131" t="inlineStr">
        <is>
          <t>Кол-во ИТОГО</t>
        </is>
      </c>
      <c r="P5" s="131" t="inlineStr">
        <is>
          <t>Паркинг</t>
        </is>
      </c>
      <c r="Q5" s="131" t="inlineStr">
        <is>
          <t>Корпус 4</t>
        </is>
      </c>
      <c r="R5" s="131" t="inlineStr">
        <is>
          <t>Кол-во итого К4</t>
        </is>
      </c>
      <c r="S5" s="131" t="inlineStr">
        <is>
          <t>Корпус 5</t>
        </is>
      </c>
      <c r="T5" s="131" t="inlineStr">
        <is>
          <t>Кол-во Итого К5</t>
        </is>
      </c>
      <c r="U5" s="131" t="inlineStr">
        <is>
          <t>Корпус 6</t>
        </is>
      </c>
      <c r="V5" s="131" t="inlineStr">
        <is>
          <t>Кол-во итого К6</t>
        </is>
      </c>
      <c r="W5" s="131" t="inlineStr">
        <is>
          <t>Коэф-т расхода для материала ГТ</t>
        </is>
      </c>
      <c r="X5" s="206" t="inlineStr">
        <is>
          <t>ИНН Поставщика ГТ</t>
        </is>
      </c>
      <c r="Y5" s="207" t="inlineStr">
        <is>
          <t>КПП Поставщика ГТ</t>
        </is>
      </c>
      <c r="Z5" s="208" t="inlineStr">
        <is>
          <t>Поставщик ГТ</t>
        </is>
      </c>
      <c r="AA5" s="146" t="inlineStr">
        <is>
          <t>Примечание</t>
        </is>
      </c>
      <c r="AB5" s="157" t="inlineStr">
        <is>
          <t>Указать Наименование организации, ИНН и систему налогообложения</t>
        </is>
      </c>
      <c r="AC5" s="209" t="n"/>
      <c r="AD5" s="209" t="n"/>
      <c r="AE5" s="209" t="n"/>
      <c r="AF5" s="209" t="n"/>
      <c r="AG5" s="209" t="n"/>
      <c r="AH5" s="210" t="n"/>
    </row>
    <row r="6" ht="35.25" customFormat="1" customHeight="1" s="5">
      <c r="J6" s="211" t="n"/>
      <c r="K6" s="212" t="n"/>
      <c r="L6" s="212" t="n"/>
      <c r="M6" s="212" t="n"/>
      <c r="N6" s="212" t="n"/>
      <c r="O6" s="212" t="n"/>
      <c r="P6" s="212" t="n"/>
      <c r="Q6" s="212" t="n"/>
      <c r="R6" s="212" t="n"/>
      <c r="S6" s="212" t="n"/>
      <c r="T6" s="212" t="n"/>
      <c r="U6" s="212" t="n"/>
      <c r="V6" s="212" t="n"/>
      <c r="W6" s="212" t="n"/>
      <c r="X6" s="213" t="n"/>
      <c r="Y6" s="214" t="n"/>
      <c r="Z6" s="215" t="n"/>
      <c r="AA6" s="216" t="n"/>
      <c r="AB6" s="160" t="inlineStr">
        <is>
          <t>Цена работ на ед. измерения в руб. с НДС</t>
        </is>
      </c>
      <c r="AC6" s="217" t="n"/>
      <c r="AD6" s="218" t="n"/>
      <c r="AE6" s="161" t="inlineStr">
        <is>
          <t>Твердая договорная стоимость на полный объем в руб. с НДС</t>
        </is>
      </c>
      <c r="AF6" s="219" t="n"/>
      <c r="AG6" s="220" t="n"/>
      <c r="AH6" s="119" t="inlineStr">
        <is>
          <t>Примечание участника</t>
        </is>
      </c>
    </row>
    <row r="7" ht="19.5" customFormat="1" customHeight="1" s="5">
      <c r="J7" s="221" t="n"/>
      <c r="K7" s="222" t="n"/>
      <c r="L7" s="222" t="n"/>
      <c r="M7" s="222" t="n"/>
      <c r="N7" s="222" t="n"/>
      <c r="O7" s="222" t="n"/>
      <c r="P7" s="222" t="n"/>
      <c r="Q7" s="222" t="n"/>
      <c r="R7" s="222" t="n"/>
      <c r="S7" s="222" t="n"/>
      <c r="T7" s="222" t="n"/>
      <c r="U7" s="222" t="n"/>
      <c r="V7" s="222" t="n"/>
      <c r="W7" s="222" t="n"/>
      <c r="X7" s="223" t="n"/>
      <c r="Y7" s="224" t="n"/>
      <c r="Z7" s="225" t="n"/>
      <c r="AA7" s="226" t="n"/>
      <c r="AB7" s="28" t="inlineStr">
        <is>
          <t>Материал</t>
        </is>
      </c>
      <c r="AC7" s="132" t="inlineStr">
        <is>
          <t>Работа</t>
        </is>
      </c>
      <c r="AD7" s="132" t="inlineStr">
        <is>
          <t>Всего</t>
        </is>
      </c>
      <c r="AE7" s="132" t="inlineStr">
        <is>
          <t>Материал</t>
        </is>
      </c>
      <c r="AF7" s="132" t="inlineStr">
        <is>
          <t>Работа</t>
        </is>
      </c>
      <c r="AG7" s="132" t="inlineStr">
        <is>
          <t>Всего</t>
        </is>
      </c>
      <c r="AH7" s="227" t="n"/>
    </row>
    <row r="8" customFormat="1" s="5">
      <c r="B8" s="10" t="inlineStr">
        <is>
          <t>Л1</t>
        </is>
      </c>
      <c r="C8" s="10" t="inlineStr">
        <is>
          <t>Л2</t>
        </is>
      </c>
      <c r="D8" s="10" t="inlineStr">
        <is>
          <t>Л3</t>
        </is>
      </c>
      <c r="E8" s="10" t="inlineStr">
        <is>
          <t>Л4</t>
        </is>
      </c>
      <c r="F8" s="10" t="inlineStr">
        <is>
          <t>Л5</t>
        </is>
      </c>
      <c r="G8" s="10" t="inlineStr">
        <is>
          <t>Л6</t>
        </is>
      </c>
      <c r="H8" s="10" t="inlineStr">
        <is>
          <t>Л7</t>
        </is>
      </c>
      <c r="I8" s="10" t="inlineStr">
        <is>
          <t>Л8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3</t>
        </is>
      </c>
      <c r="M8" s="6" t="inlineStr">
        <is>
          <t>5</t>
        </is>
      </c>
      <c r="N8" s="6" t="inlineStr">
        <is>
          <t>6</t>
        </is>
      </c>
      <c r="O8" s="71" t="inlineStr">
        <is>
          <t>7</t>
        </is>
      </c>
      <c r="P8" s="6" t="inlineStr">
        <is>
          <t>8</t>
        </is>
      </c>
      <c r="Q8" s="6" t="inlineStr">
        <is>
          <t>9</t>
        </is>
      </c>
      <c r="R8" s="6" t="inlineStr">
        <is>
          <t>10</t>
        </is>
      </c>
      <c r="S8" s="6" t="inlineStr">
        <is>
          <t>11</t>
        </is>
      </c>
      <c r="T8" s="6" t="inlineStr">
        <is>
          <t>12</t>
        </is>
      </c>
      <c r="U8" s="6" t="inlineStr">
        <is>
          <t>13</t>
        </is>
      </c>
      <c r="V8" s="6" t="inlineStr">
        <is>
          <t>14</t>
        </is>
      </c>
      <c r="W8" s="6" t="inlineStr">
        <is>
          <t>15</t>
        </is>
      </c>
      <c r="X8" s="6" t="inlineStr">
        <is>
          <t>16</t>
        </is>
      </c>
      <c r="Y8" s="6" t="inlineStr">
        <is>
          <t>17</t>
        </is>
      </c>
      <c r="Z8" s="6" t="inlineStr">
        <is>
          <t>18</t>
        </is>
      </c>
      <c r="AA8" s="32" t="inlineStr">
        <is>
          <t>19</t>
        </is>
      </c>
      <c r="AB8" s="70" t="inlineStr">
        <is>
          <t>20</t>
        </is>
      </c>
      <c r="AC8" s="71" t="inlineStr">
        <is>
          <t>21</t>
        </is>
      </c>
      <c r="AD8" s="71" t="inlineStr">
        <is>
          <t>22</t>
        </is>
      </c>
      <c r="AE8" s="71" t="inlineStr">
        <is>
          <t>23</t>
        </is>
      </c>
      <c r="AF8" s="71" t="inlineStr">
        <is>
          <t>24</t>
        </is>
      </c>
      <c r="AG8" s="71" t="inlineStr">
        <is>
          <t>25</t>
        </is>
      </c>
      <c r="AH8" s="72" t="inlineStr">
        <is>
          <t>26</t>
        </is>
      </c>
    </row>
    <row r="9">
      <c r="A9" s="1" t="n"/>
      <c r="B9" s="11" t="n">
        <v>1</v>
      </c>
      <c r="C9" s="11">
        <f>IF($K9=C$8,1+IF(OFFSET(C9,-1,0)="",0,OFFSET(C9,-1,0)),IF(C$8&lt;$K9,IF(OFFSET(C9,-1,0)="","ERR",OFFSET(C9,-1,0)),""))</f>
        <v/>
      </c>
      <c r="D9" s="11">
        <f>IF($K9=D$8,1+IF(OFFSET(D9,-1,0)="",0,OFFSET(D9,-1,0)),IF(D$8&lt;$K9,IF(OFFSET(D9,-1,0)="","ERR",OFFSET(D9,-1,0)),""))</f>
        <v/>
      </c>
      <c r="E9" s="11">
        <f>IF($K9=E$8,1+IF(OFFSET(E9,-1,0)="",0,OFFSET(E9,-1,0)),IF(E$8&lt;$K9,IF(OFFSET(E9,-1,0)="","ERR",OFFSET(E9,-1,0)),""))</f>
        <v/>
      </c>
      <c r="F9" s="11">
        <f>IF($K9=F$8,1+IF(OFFSET(F9,-1,0)="",0,OFFSET(F9,-1,0)),IF(F$8&lt;$K9,IF(OFFSET(F9,-1,0)="","ERR",OFFSET(F9,-1,0)),""))</f>
        <v/>
      </c>
      <c r="G9" s="11">
        <f>IF($K9=G$8,1+IF(OFFSET(G9,-1,0)="",0,OFFSET(G9,-1,0)),IF(G$8&lt;$K9,IF(OFFSET(G9,-1,0)="","ERR",OFFSET(G9,-1,0)),""))</f>
        <v/>
      </c>
      <c r="H9" s="11">
        <f>IF($K9=H$8,1+IF(OFFSET(H9,-1,0)="",0,OFFSET(H9,-1,0)),IF(H$8&lt;$K9,IF(OFFSET(H9,-1,0)="","ERR",OFFSET(H9,-1,0)),""))</f>
        <v/>
      </c>
      <c r="I9" s="11">
        <f>IF($K9=I$8,1+IF(OFFSET(I9,-1,0)="",0,OFFSET(I9,-1,0)),IF(I$8&lt;$K9,IF(OFFSET(I9,-1,0)="","ERR",OFFSET(I9,-1,0)),""))</f>
        <v/>
      </c>
      <c r="J9" s="12">
        <f>_xlfn.TEXTJOIN(".",1,B9:I9)</f>
        <v/>
      </c>
      <c r="K9" s="12" t="inlineStr">
        <is>
          <t>Л1</t>
        </is>
      </c>
      <c r="L9" s="12" t="inlineStr">
        <is>
          <t>3</t>
        </is>
      </c>
      <c r="M9" s="13" t="inlineStr">
        <is>
          <t>Внутренние инженерные сети</t>
        </is>
      </c>
      <c r="N9" s="12" t="n"/>
      <c r="O9" s="89" t="n"/>
      <c r="P9" s="14" t="n"/>
      <c r="Q9" s="14" t="n"/>
      <c r="R9" s="14" t="n"/>
      <c r="S9" s="14" t="n"/>
      <c r="T9" s="14" t="n"/>
      <c r="U9" s="14" t="n"/>
      <c r="V9" s="14" t="n"/>
      <c r="W9" s="12" t="n"/>
      <c r="X9" s="14" t="n"/>
      <c r="Y9" s="14" t="n"/>
      <c r="Z9" s="14" t="n"/>
      <c r="AA9" s="33" t="n"/>
      <c r="AB9" s="164" t="n"/>
      <c r="AC9" s="165" t="n"/>
      <c r="AD9" s="165" t="n"/>
      <c r="AE9" s="165" t="n"/>
      <c r="AF9" s="165" t="n"/>
      <c r="AG9" s="165" t="n"/>
      <c r="AH9" s="166" t="n"/>
    </row>
    <row r="10">
      <c r="A10" s="1" t="n"/>
      <c r="B10" s="11">
        <f>IF($K10=B$8,1+IF(OFFSET(B10,-1,0)="",0,OFFSET(B10,-1,0)),IF(B$8&lt;$K10,IF(OFFSET(B10,-1,0)="","ERR",OFFSET(B10,-1,0)),""))</f>
        <v/>
      </c>
      <c r="C10" s="11">
        <f>IF($K10=C$8,1+IF(OFFSET(C10,-1,0)="",0,OFFSET(C10,-1,0)),IF(C$8&lt;$K10,IF(OFFSET(C10,-1,0)="","ERR",OFFSET(C10,-1,0)),""))</f>
        <v/>
      </c>
      <c r="D10" s="11">
        <f>IF($K10=D$8,1+IF(OFFSET(D10,-1,0)="",0,OFFSET(D10,-1,0)),IF(D$8&lt;$K10,IF(OFFSET(D10,-1,0)="","ERR",OFFSET(D10,-1,0)),""))</f>
        <v/>
      </c>
      <c r="E10" s="11">
        <f>IF($K10=E$8,1+IF(OFFSET(E10,-1,0)="",0,OFFSET(E10,-1,0)),IF(E$8&lt;$K10,IF(OFFSET(E10,-1,0)="","ERR",OFFSET(E10,-1,0)),""))</f>
        <v/>
      </c>
      <c r="F10" s="11">
        <f>IF($K10=F$8,1+IF(OFFSET(F10,-1,0)="",0,OFFSET(F10,-1,0)),IF(F$8&lt;$K10,IF(OFFSET(F10,-1,0)="","ERR",OFFSET(F10,-1,0)),""))</f>
        <v/>
      </c>
      <c r="G10" s="11">
        <f>IF($K10=G$8,1+IF(OFFSET(G10,-1,0)="",0,OFFSET(G10,-1,0)),IF(G$8&lt;$K10,IF(OFFSET(G10,-1,0)="","ERR",OFFSET(G10,-1,0)),""))</f>
        <v/>
      </c>
      <c r="H10" s="11">
        <f>IF($K10=H$8,1+IF(OFFSET(H10,-1,0)="",0,OFFSET(H10,-1,0)),IF(H$8&lt;$K10,IF(OFFSET(H10,-1,0)="","ERR",OFFSET(H10,-1,0)),""))</f>
        <v/>
      </c>
      <c r="I10" s="11">
        <f>IF($K10=I$8,1+IF(OFFSET(I10,-1,0)="",0,OFFSET(I10,-1,0)),IF(I$8&lt;$K10,IF(OFFSET(I10,-1,0)="","ERR",OFFSET(I10,-1,0)),""))</f>
        <v/>
      </c>
      <c r="J10" s="15">
        <f>_xlfn.TEXTJOIN(".",1,B10:I10)</f>
        <v/>
      </c>
      <c r="K10" s="15" t="inlineStr">
        <is>
          <t>Л2</t>
        </is>
      </c>
      <c r="L10" s="15" t="inlineStr">
        <is>
          <t>3.3</t>
        </is>
      </c>
      <c r="M10" s="16" t="inlineStr">
        <is>
          <t>Электроснабжение и освещение, слаботочные системы</t>
        </is>
      </c>
      <c r="N10" s="15" t="n"/>
      <c r="O10" s="90" t="n"/>
      <c r="P10" s="17" t="n"/>
      <c r="Q10" s="17" t="n"/>
      <c r="R10" s="17" t="n"/>
      <c r="S10" s="17" t="n"/>
      <c r="T10" s="17" t="n"/>
      <c r="U10" s="17" t="n"/>
      <c r="V10" s="17" t="n"/>
      <c r="W10" s="15" t="n"/>
      <c r="X10" s="17" t="n"/>
      <c r="Y10" s="17" t="n"/>
      <c r="Z10" s="17" t="n"/>
      <c r="AA10" s="34" t="n"/>
      <c r="AB10" s="167" t="n"/>
      <c r="AC10" s="168" t="n"/>
      <c r="AD10" s="168" t="n"/>
      <c r="AE10" s="168" t="n"/>
      <c r="AF10" s="168" t="n"/>
      <c r="AG10" s="168" t="n"/>
      <c r="AH10" s="169" t="n"/>
    </row>
    <row r="11">
      <c r="A11" s="18" t="n"/>
      <c r="B11" s="11">
        <f>IF($K11=B$8,1+IF(OFFSET(B11,-1,0)="",0,OFFSET(B11,-1,0)),IF(B$8&lt;$K11,IF(OFFSET(B11,-1,0)="","ERR",OFFSET(B11,-1,0)),""))</f>
        <v/>
      </c>
      <c r="C11" s="11">
        <f>IF($K11=C$8,1+IF(OFFSET(C11,-1,0)="",0,OFFSET(C11,-1,0)),IF(C$8&lt;$K11,IF(OFFSET(C11,-1,0)="","ERR",OFFSET(C11,-1,0)),""))</f>
        <v/>
      </c>
      <c r="D11" s="11">
        <f>IF($K11=D$8,1+IF(OFFSET(D11,-1,0)="",0,OFFSET(D11,-1,0)),IF(D$8&lt;$K11,IF(OFFSET(D11,-1,0)="","ERR",OFFSET(D11,-1,0)),""))</f>
        <v/>
      </c>
      <c r="E11" s="11">
        <f>IF($K11=E$8,1+IF(OFFSET(E11,-1,0)="",0,OFFSET(E11,-1,0)),IF(E$8&lt;$K11,IF(OFFSET(E11,-1,0)="","ERR",OFFSET(E11,-1,0)),""))</f>
        <v/>
      </c>
      <c r="F11" s="11">
        <f>IF($K11=F$8,1+IF(OFFSET(F11,-1,0)="",0,OFFSET(F11,-1,0)),IF(F$8&lt;$K11,IF(OFFSET(F11,-1,0)="","ERR",OFFSET(F11,-1,0)),""))</f>
        <v/>
      </c>
      <c r="G11" s="11">
        <f>IF($K11=G$8,1+IF(OFFSET(G11,-1,0)="",0,OFFSET(G11,-1,0)),IF(G$8&lt;$K11,IF(OFFSET(G11,-1,0)="","ERR",OFFSET(G11,-1,0)),""))</f>
        <v/>
      </c>
      <c r="H11" s="11">
        <f>IF($K11=H$8,1+IF(OFFSET(H11,-1,0)="",0,OFFSET(H11,-1,0)),IF(H$8&lt;$K11,IF(OFFSET(H11,-1,0)="","ERR",OFFSET(H11,-1,0)),""))</f>
        <v/>
      </c>
      <c r="I11" s="11">
        <f>IF($K11=I$8,1+IF(OFFSET(I11,-1,0)="",0,OFFSET(I11,-1,0)),IF(I$8&lt;$K11,IF(OFFSET(I11,-1,0)="","ERR",OFFSET(I11,-1,0)),""))</f>
        <v/>
      </c>
      <c r="J11" s="37">
        <f>_xlfn.TEXTJOIN(".",1,B11:I11)</f>
        <v/>
      </c>
      <c r="K11" s="37" t="inlineStr">
        <is>
          <t>Л3</t>
        </is>
      </c>
      <c r="L11" s="37" t="inlineStr">
        <is>
          <t>3.3.3</t>
        </is>
      </c>
      <c r="M11" s="38" t="inlineStr">
        <is>
          <t>Слаботочные системы</t>
        </is>
      </c>
      <c r="N11" s="37" t="n"/>
      <c r="O11" s="91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9" t="n"/>
      <c r="AB11" s="170" t="n"/>
      <c r="AC11" s="171" t="n"/>
      <c r="AD11" s="171" t="n"/>
      <c r="AE11" s="171" t="n"/>
      <c r="AF11" s="171" t="n"/>
      <c r="AG11" s="171" t="n"/>
      <c r="AH11" s="172" t="n"/>
    </row>
    <row r="12" outlineLevel="1">
      <c r="A12" s="18" t="n"/>
      <c r="B12" s="11">
        <f>IF($K12=B$8,1+IF(OFFSET(B12,-1,0)="",0,OFFSET(B12,-1,0)),IF(B$8&lt;$K12,IF(OFFSET(B12,-1,0)="","ERR",OFFSET(B12,-1,0)),""))</f>
        <v/>
      </c>
      <c r="C12" s="11">
        <f>IF($K12=C$8,1+IF(OFFSET(C12,-1,0)="",0,OFFSET(C12,-1,0)),IF(C$8&lt;$K12,IF(OFFSET(C12,-1,0)="","ERR",OFFSET(C12,-1,0)),""))</f>
        <v/>
      </c>
      <c r="D12" s="11">
        <f>IF($K12=D$8,1+IF(OFFSET(D12,-1,0)="",0,OFFSET(D12,-1,0)),IF(D$8&lt;$K12,IF(OFFSET(D12,-1,0)="","ERR",OFFSET(D12,-1,0)),""))</f>
        <v/>
      </c>
      <c r="E12" s="11">
        <f>IF($K12=E$8,1+IF(OFFSET(E12,-1,0)="",0,OFFSET(E12,-1,0)),IF(E$8&lt;$K12,IF(OFFSET(E12,-1,0)="","ERR",OFFSET(E12,-1,0)),""))</f>
        <v/>
      </c>
      <c r="F12" s="11">
        <f>IF($K12=F$8,1+IF(OFFSET(F12,-1,0)="",0,OFFSET(F12,-1,0)),IF(F$8&lt;$K12,IF(OFFSET(F12,-1,0)="","ERR",OFFSET(F12,-1,0)),""))</f>
        <v/>
      </c>
      <c r="G12" s="11">
        <f>IF($K12=G$8,1+IF(OFFSET(G12,-1,0)="",0,OFFSET(G12,-1,0)),IF(G$8&lt;$K12,IF(OFFSET(G12,-1,0)="","ERR",OFFSET(G12,-1,0)),""))</f>
        <v/>
      </c>
      <c r="H12" s="11">
        <f>IF($K12=H$8,1+IF(OFFSET(H12,-1,0)="",0,OFFSET(H12,-1,0)),IF(H$8&lt;$K12,IF(OFFSET(H12,-1,0)="","ERR",OFFSET(H12,-1,0)),""))</f>
        <v/>
      </c>
      <c r="I12" s="11">
        <f>IF($K12=I$8,1+IF(OFFSET(I12,-1,0)="",0,OFFSET(I12,-1,0)),IF(I$8&lt;$K12,IF(OFFSET(I12,-1,0)="","ERR",OFFSET(I12,-1,0)),""))</f>
        <v/>
      </c>
      <c r="J12" s="40">
        <f>_xlfn.TEXTJOIN(".",1,B12:I12)</f>
        <v/>
      </c>
      <c r="K12" s="40" t="inlineStr">
        <is>
          <t>Л4</t>
        </is>
      </c>
      <c r="L12" s="40" t="inlineStr">
        <is>
          <t>3.3.3.3</t>
        </is>
      </c>
      <c r="M12" s="41" t="inlineStr">
        <is>
          <t>АПВ: Система автоматизации противодымной вентиляции</t>
        </is>
      </c>
      <c r="N12" s="40" t="n"/>
      <c r="O12" s="92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2" t="inlineStr">
        <is>
          <t>ПТ-082022-23-Р-АСПЗ0</t>
        </is>
      </c>
      <c r="AB12" s="173" t="n"/>
      <c r="AC12" s="174" t="n"/>
      <c r="AD12" s="174" t="n"/>
      <c r="AE12" s="174" t="n"/>
      <c r="AF12" s="174" t="n"/>
      <c r="AG12" s="174" t="n"/>
      <c r="AH12" s="175" t="n"/>
    </row>
    <row r="13" outlineLevel="1">
      <c r="A13" s="18" t="n"/>
      <c r="B13" s="11">
        <f>IF($K13=B$8,1+IF(OFFSET(B13,-1,0)="",0,OFFSET(B13,-1,0)),IF(B$8&lt;$K13,IF(OFFSET(B13,-1,0)="","ERR",OFFSET(B13,-1,0)),""))</f>
        <v/>
      </c>
      <c r="C13" s="11">
        <f>IF($K13=C$8,1+IF(OFFSET(C13,-1,0)="",0,OFFSET(C13,-1,0)),IF(C$8&lt;$K13,IF(OFFSET(C13,-1,0)="","ERR",OFFSET(C13,-1,0)),""))</f>
        <v/>
      </c>
      <c r="D13" s="11">
        <f>IF($K13=D$8,1+IF(OFFSET(D13,-1,0)="",0,OFFSET(D13,-1,0)),IF(D$8&lt;$K13,IF(OFFSET(D13,-1,0)="","ERR",OFFSET(D13,-1,0)),""))</f>
        <v/>
      </c>
      <c r="E13" s="11">
        <f>IF($K13=E$8,1+IF(OFFSET(E13,-1,0)="",0,OFFSET(E13,-1,0)),IF(E$8&lt;$K13,IF(OFFSET(E13,-1,0)="","ERR",OFFSET(E13,-1,0)),""))</f>
        <v/>
      </c>
      <c r="F13" s="11">
        <f>IF($K13=F$8,1+IF(OFFSET(F13,-1,0)="",0,OFFSET(F13,-1,0)),IF(F$8&lt;$K13,IF(OFFSET(F13,-1,0)="","ERR",OFFSET(F13,-1,0)),""))</f>
        <v/>
      </c>
      <c r="G13" s="11">
        <f>IF($K13=G$8,1+IF(OFFSET(G13,-1,0)="",0,OFFSET(G13,-1,0)),IF(G$8&lt;$K13,IF(OFFSET(G13,-1,0)="","ERR",OFFSET(G13,-1,0)),""))</f>
        <v/>
      </c>
      <c r="H13" s="11">
        <f>IF($K13=H$8,1+IF(OFFSET(H13,-1,0)="",0,OFFSET(H13,-1,0)),IF(H$8&lt;$K13,IF(OFFSET(H13,-1,0)="","ERR",OFFSET(H13,-1,0)),""))</f>
        <v/>
      </c>
      <c r="I13" s="11">
        <f>IF($K13=I$8,1+IF(OFFSET(I13,-1,0)="",0,OFFSET(I13,-1,0)),IF(I$8&lt;$K13,IF(OFFSET(I13,-1,0)="","ERR",OFFSET(I13,-1,0)),""))</f>
        <v/>
      </c>
      <c r="J13" s="43">
        <f>_xlfn.TEXTJOIN(".",1,B13:I13)</f>
        <v/>
      </c>
      <c r="K13" s="43" t="inlineStr">
        <is>
          <t>Л5</t>
        </is>
      </c>
      <c r="L13" s="43" t="inlineStr">
        <is>
          <t>3.3.3.3.2</t>
        </is>
      </c>
      <c r="M13" s="44" t="inlineStr">
        <is>
          <t>Оборудование и приборы</t>
        </is>
      </c>
      <c r="N13" s="43" t="n"/>
      <c r="O13" s="9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5" t="n"/>
      <c r="AB13" s="176" t="n"/>
      <c r="AC13" s="177" t="n"/>
      <c r="AD13" s="177" t="n"/>
      <c r="AE13" s="177" t="n"/>
      <c r="AF13" s="177" t="n"/>
      <c r="AG13" s="177" t="n"/>
      <c r="AH13" s="178" t="n"/>
    </row>
    <row r="14" outlineLevel="1" ht="25.5" customHeight="1">
      <c r="A14" s="18" t="inlineStr">
        <is>
          <t>О</t>
        </is>
      </c>
      <c r="B14" s="11">
        <f>IF($K14=B$8,1+IF(OFFSET(B14,-1,0)="",0,OFFSET(B14,-1,0)),IF(B$8&lt;$K14,IF(OFFSET(B14,-1,0)="","ERR",OFFSET(B14,-1,0)),""))</f>
        <v/>
      </c>
      <c r="C14" s="11">
        <f>IF($K14=C$8,1+IF(OFFSET(C14,-1,0)="",0,OFFSET(C14,-1,0)),IF(C$8&lt;$K14,IF(OFFSET(C14,-1,0)="","ERR",OFFSET(C14,-1,0)),""))</f>
        <v/>
      </c>
      <c r="D14" s="11">
        <f>IF($K14=D$8,1+IF(OFFSET(D14,-1,0)="",0,OFFSET(D14,-1,0)),IF(D$8&lt;$K14,IF(OFFSET(D14,-1,0)="","ERR",OFFSET(D14,-1,0)),""))</f>
        <v/>
      </c>
      <c r="E14" s="11">
        <f>IF($K14=E$8,1+IF(OFFSET(E14,-1,0)="",0,OFFSET(E14,-1,0)),IF(E$8&lt;$K14,IF(OFFSET(E14,-1,0)="","ERR",OFFSET(E14,-1,0)),""))</f>
        <v/>
      </c>
      <c r="F14" s="11">
        <f>IF($K14=F$8,1+IF(OFFSET(F14,-1,0)="",0,OFFSET(F14,-1,0)),IF(F$8&lt;$K14,IF(OFFSET(F14,-1,0)="","ERR",OFFSET(F14,-1,0)),""))</f>
        <v/>
      </c>
      <c r="G14" s="11">
        <f>IF($K14=G$8,1+IF(OFFSET(G14,-1,0)="",0,OFFSET(G14,-1,0)),IF(G$8&lt;$K14,IF(OFFSET(G14,-1,0)="","ERR",OFFSET(G14,-1,0)),""))</f>
        <v/>
      </c>
      <c r="H14" s="11">
        <f>IF($K14=H$8,1+IF(OFFSET(H14,-1,0)="",0,OFFSET(H14,-1,0)),IF(H$8&lt;$K14,IF(OFFSET(H14,-1,0)="","ERR",OFFSET(H14,-1,0)),""))</f>
        <v/>
      </c>
      <c r="I14" s="11">
        <f>IF($K14=I$8,1+IF(OFFSET(I14,-1,0)="",0,OFFSET(I14,-1,0)),IF(I$8&lt;$K14,IF(OFFSET(I14,-1,0)="","ERR",OFFSET(I14,-1,0)),""))</f>
        <v/>
      </c>
      <c r="J14" s="46">
        <f>_xlfn.TEXTJOIN(".",1,B14:I14)</f>
        <v/>
      </c>
      <c r="K14" s="46" t="inlineStr">
        <is>
          <t>Л6</t>
        </is>
      </c>
      <c r="L14" s="46" t="inlineStr">
        <is>
          <t>3.3.3.3.2.1</t>
        </is>
      </c>
      <c r="M14" s="47" t="inlineStr">
        <is>
          <t>Монтаж реле дифференциального давления для воздуха: Датчик реле перепада  давления 50...500Па, DS 106-A, S+S Regeltechnik</t>
        </is>
      </c>
      <c r="N14" s="46" t="inlineStr">
        <is>
          <t>шт</t>
        </is>
      </c>
      <c r="O14" s="94">
        <f>P14+Q14+S14+V14</f>
        <v/>
      </c>
      <c r="P14" s="46" t="n"/>
      <c r="Q14" s="46" t="n">
        <v>2</v>
      </c>
      <c r="R14" s="46" t="n">
        <v>2</v>
      </c>
      <c r="S14" s="46" t="n">
        <v>2</v>
      </c>
      <c r="T14" s="46" t="n">
        <v>2</v>
      </c>
      <c r="U14" s="46" t="n">
        <v>2</v>
      </c>
      <c r="V14" s="46" t="n">
        <v>2</v>
      </c>
      <c r="W14" s="46" t="n"/>
      <c r="X14" s="46" t="n"/>
      <c r="Y14" s="46" t="n"/>
      <c r="Z14" s="46" t="n"/>
      <c r="AA14" s="48" t="n"/>
      <c r="AB14" s="179" t="n"/>
      <c r="AC14" s="180" t="n">
        <v>4200</v>
      </c>
      <c r="AD14" s="189">
        <f>SUM(AB14:AC14)</f>
        <v/>
      </c>
      <c r="AE14" s="189">
        <f>AB14*$O14</f>
        <v/>
      </c>
      <c r="AF14" s="189">
        <f>AC14*$O14</f>
        <v/>
      </c>
      <c r="AG14" s="189">
        <f>SUM(AE14:AF14)</f>
        <v/>
      </c>
      <c r="AH14" s="182" t="n"/>
    </row>
    <row r="15" ht="24.75" customHeight="1">
      <c r="A15" s="18" t="n"/>
      <c r="B15" s="11">
        <f>IF($K15=B$8,1+IF(OFFSET(B15,-1,0)="",0,OFFSET(B15,-1,0)),IF(B$8&lt;$K15,IF(OFFSET(B15,-1,0)="","ERR",OFFSET(B15,-1,0)),""))</f>
        <v/>
      </c>
      <c r="C15" s="11">
        <f>IF($K15=C$8,1+IF(OFFSET(C15,-1,0)="",0,OFFSET(C15,-1,0)),IF(C$8&lt;$K15,IF(OFFSET(C15,-1,0)="","ERR",OFFSET(C15,-1,0)),""))</f>
        <v/>
      </c>
      <c r="D15" s="11">
        <f>IF($K15=D$8,1+IF(OFFSET(D15,-1,0)="",0,OFFSET(D15,-1,0)),IF(D$8&lt;$K15,IF(OFFSET(D15,-1,0)="","ERR",OFFSET(D15,-1,0)),""))</f>
        <v/>
      </c>
      <c r="E15" s="11">
        <f>IF($K15=E$8,1+IF(OFFSET(E15,-1,0)="",0,OFFSET(E15,-1,0)),IF(E$8&lt;$K15,IF(OFFSET(E15,-1,0)="","ERR",OFFSET(E15,-1,0)),""))</f>
        <v/>
      </c>
      <c r="F15" s="11">
        <f>IF($K15=F$8,1+IF(OFFSET(F15,-1,0)="",0,OFFSET(F15,-1,0)),IF(F$8&lt;$K15,IF(OFFSET(F15,-1,0)="","ERR",OFFSET(F15,-1,0)),""))</f>
        <v/>
      </c>
      <c r="G15" s="11">
        <f>IF($K15=G$8,1+IF(OFFSET(G15,-1,0)="",0,OFFSET(G15,-1,0)),IF(G$8&lt;$K15,IF(OFFSET(G15,-1,0)="","ERR",OFFSET(G15,-1,0)),""))</f>
        <v/>
      </c>
      <c r="H15" s="11">
        <f>IF($K15=H$8,1+IF(OFFSET(H15,-1,0)="",0,OFFSET(H15,-1,0)),IF(H$8&lt;$K15,IF(OFFSET(H15,-1,0)="","ERR",OFFSET(H15,-1,0)),""))</f>
        <v/>
      </c>
      <c r="I15" s="11">
        <f>IF($K15=I$8,1+IF(OFFSET(I15,-1,0)="",0,OFFSET(I15,-1,0)),IF(I$8&lt;$K15,IF(OFFSET(I15,-1,0)="","ERR",OFFSET(I15,-1,0)),""))</f>
        <v/>
      </c>
      <c r="J15" s="40">
        <f>_xlfn.TEXTJOIN(".",1,B15:I15)</f>
        <v/>
      </c>
      <c r="K15" s="40" t="inlineStr">
        <is>
          <t>Л4</t>
        </is>
      </c>
      <c r="L15" s="40" t="inlineStr">
        <is>
          <t>3.3.3.4</t>
        </is>
      </c>
      <c r="M15" s="41" t="inlineStr">
        <is>
          <t>АПС: Система автоматической пожарной сигнализации, система оповещения и управления эвакуацией</t>
        </is>
      </c>
      <c r="N15" s="40" t="n"/>
      <c r="O15" s="92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2" t="inlineStr">
        <is>
          <t>ПТ-082022-23-Р-СПС</t>
        </is>
      </c>
      <c r="AB15" s="183" t="n"/>
      <c r="AC15" s="184" t="n"/>
      <c r="AD15" s="184" t="n"/>
      <c r="AE15" s="184" t="n"/>
      <c r="AF15" s="184" t="n"/>
      <c r="AG15" s="184" t="n"/>
      <c r="AH15" s="175" t="n"/>
    </row>
    <row r="16" outlineLevel="1">
      <c r="A16" s="18" t="n"/>
      <c r="B16" s="11">
        <f>IF($K16=B$8,1+IF(OFFSET(B16,-1,0)="",0,OFFSET(B16,-1,0)),IF(B$8&lt;$K16,IF(OFFSET(B16,-1,0)="","ERR",OFFSET(B16,-1,0)),""))</f>
        <v/>
      </c>
      <c r="C16" s="11">
        <f>IF($K16=C$8,1+IF(OFFSET(C16,-1,0)="",0,OFFSET(C16,-1,0)),IF(C$8&lt;$K16,IF(OFFSET(C16,-1,0)="","ERR",OFFSET(C16,-1,0)),""))</f>
        <v/>
      </c>
      <c r="D16" s="11">
        <f>IF($K16=D$8,1+IF(OFFSET(D16,-1,0)="",0,OFFSET(D16,-1,0)),IF(D$8&lt;$K16,IF(OFFSET(D16,-1,0)="","ERR",OFFSET(D16,-1,0)),""))</f>
        <v/>
      </c>
      <c r="E16" s="11">
        <f>IF($K16=E$8,1+IF(OFFSET(E16,-1,0)="",0,OFFSET(E16,-1,0)),IF(E$8&lt;$K16,IF(OFFSET(E16,-1,0)="","ERR",OFFSET(E16,-1,0)),""))</f>
        <v/>
      </c>
      <c r="F16" s="11">
        <f>IF($K16=F$8,1+IF(OFFSET(F16,-1,0)="",0,OFFSET(F16,-1,0)),IF(F$8&lt;$K16,IF(OFFSET(F16,-1,0)="","ERR",OFFSET(F16,-1,0)),""))</f>
        <v/>
      </c>
      <c r="G16" s="11">
        <f>IF($K16=G$8,1+IF(OFFSET(G16,-1,0)="",0,OFFSET(G16,-1,0)),IF(G$8&lt;$K16,IF(OFFSET(G16,-1,0)="","ERR",OFFSET(G16,-1,0)),""))</f>
        <v/>
      </c>
      <c r="H16" s="11">
        <f>IF($K16=H$8,1+IF(OFFSET(H16,-1,0)="",0,OFFSET(H16,-1,0)),IF(H$8&lt;$K16,IF(OFFSET(H16,-1,0)="","ERR",OFFSET(H16,-1,0)),""))</f>
        <v/>
      </c>
      <c r="I16" s="11">
        <f>IF($K16=I$8,1+IF(OFFSET(I16,-1,0)="",0,OFFSET(I16,-1,0)),IF(I$8&lt;$K16,IF(OFFSET(I16,-1,0)="","ERR",OFFSET(I16,-1,0)),""))</f>
        <v/>
      </c>
      <c r="J16" s="43">
        <f>_xlfn.TEXTJOIN(".",1,B16:I16)</f>
        <v/>
      </c>
      <c r="K16" s="43" t="inlineStr">
        <is>
          <t>Л5</t>
        </is>
      </c>
      <c r="L16" s="43" t="inlineStr">
        <is>
          <t>3.3.3.4.2</t>
        </is>
      </c>
      <c r="M16" s="44" t="inlineStr">
        <is>
          <t>Оборудование и приборы</t>
        </is>
      </c>
      <c r="N16" s="43" t="n"/>
      <c r="O16" s="9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5" t="n"/>
      <c r="AB16" s="185" t="n"/>
      <c r="AC16" s="186" t="n"/>
      <c r="AD16" s="186" t="n"/>
      <c r="AE16" s="186" t="n"/>
      <c r="AF16" s="186" t="n"/>
      <c r="AG16" s="186" t="n"/>
      <c r="AH16" s="178" t="n"/>
    </row>
    <row r="17" outlineLevel="1">
      <c r="A17" s="18" t="inlineStr">
        <is>
          <t>О</t>
        </is>
      </c>
      <c r="B17" s="11">
        <f>IF($K17=B$8,1+IF(OFFSET(B17,-1,0)="",0,OFFSET(B17,-1,0)),IF(B$8&lt;$K17,IF(OFFSET(B17,-1,0)="","ERR",OFFSET(B17,-1,0)),""))</f>
        <v/>
      </c>
      <c r="C17" s="11">
        <f>IF($K17=C$8,1+IF(OFFSET(C17,-1,0)="",0,OFFSET(C17,-1,0)),IF(C$8&lt;$K17,IF(OFFSET(C17,-1,0)="","ERR",OFFSET(C17,-1,0)),""))</f>
        <v/>
      </c>
      <c r="D17" s="11">
        <f>IF($K17=D$8,1+IF(OFFSET(D17,-1,0)="",0,OFFSET(D17,-1,0)),IF(D$8&lt;$K17,IF(OFFSET(D17,-1,0)="","ERR",OFFSET(D17,-1,0)),""))</f>
        <v/>
      </c>
      <c r="E17" s="11">
        <f>IF($K17=E$8,1+IF(OFFSET(E17,-1,0)="",0,OFFSET(E17,-1,0)),IF(E$8&lt;$K17,IF(OFFSET(E17,-1,0)="","ERR",OFFSET(E17,-1,0)),""))</f>
        <v/>
      </c>
      <c r="F17" s="11">
        <f>IF($K17=F$8,1+IF(OFFSET(F17,-1,0)="",0,OFFSET(F17,-1,0)),IF(F$8&lt;$K17,IF(OFFSET(F17,-1,0)="","ERR",OFFSET(F17,-1,0)),""))</f>
        <v/>
      </c>
      <c r="G17" s="11">
        <f>IF($K17=G$8,1+IF(OFFSET(G17,-1,0)="",0,OFFSET(G17,-1,0)),IF(G$8&lt;$K17,IF(OFFSET(G17,-1,0)="","ERR",OFFSET(G17,-1,0)),""))</f>
        <v/>
      </c>
      <c r="H17" s="11">
        <f>IF($K17=H$8,1+IF(OFFSET(H17,-1,0)="",0,OFFSET(H17,-1,0)),IF(H$8&lt;$K17,IF(OFFSET(H17,-1,0)="","ERR",OFFSET(H17,-1,0)),""))</f>
        <v/>
      </c>
      <c r="I17" s="11">
        <f>IF($K17=I$8,1+IF(OFFSET(I17,-1,0)="",0,OFFSET(I17,-1,0)),IF(I$8&lt;$K17,IF(OFFSET(I17,-1,0)="","ERR",OFFSET(I17,-1,0)),""))</f>
        <v/>
      </c>
      <c r="J17" s="46">
        <f>_xlfn.TEXTJOIN(".",1,B17:I17)</f>
        <v/>
      </c>
      <c r="K17" s="46" t="inlineStr">
        <is>
          <t>Л6</t>
        </is>
      </c>
      <c r="L17" s="46" t="inlineStr">
        <is>
          <t>3.3.3.4.2.1</t>
        </is>
      </c>
      <c r="M17" s="47" t="inlineStr">
        <is>
          <t>Монтаж прибора адресно-аналогового приемно-контрольного охранно-пожарного и управления</t>
        </is>
      </c>
      <c r="N17" s="46" t="inlineStr">
        <is>
          <t>шт</t>
        </is>
      </c>
      <c r="O17" s="94">
        <f>P17+Q17+S17+V17</f>
        <v/>
      </c>
      <c r="P17" s="46" t="n"/>
      <c r="Q17" s="46" t="n">
        <v>6</v>
      </c>
      <c r="R17" s="46" t="n">
        <v>6</v>
      </c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8" t="n"/>
      <c r="AB17" s="187" t="n"/>
      <c r="AC17" s="180" t="n">
        <v>13500</v>
      </c>
      <c r="AD17" s="189">
        <f>SUM(AB17:AC17)</f>
        <v/>
      </c>
      <c r="AE17" s="189">
        <f>AB17*$O17</f>
        <v/>
      </c>
      <c r="AF17" s="189">
        <f>AC17*$O17</f>
        <v/>
      </c>
      <c r="AG17" s="189">
        <f>SUM(AE17:AF17)</f>
        <v/>
      </c>
      <c r="AH17" s="182" t="n"/>
    </row>
    <row r="18" outlineLevel="1">
      <c r="A18" s="18" t="inlineStr">
        <is>
          <t>О</t>
        </is>
      </c>
      <c r="B18" s="11">
        <f>IF($K18=B$8,1+IF(OFFSET(B18,-1,0)="",0,OFFSET(B18,-1,0)),IF(B$8&lt;$K18,IF(OFFSET(B18,-1,0)="","ERR",OFFSET(B18,-1,0)),""))</f>
        <v/>
      </c>
      <c r="C18" s="11">
        <f>IF($K18=C$8,1+IF(OFFSET(C18,-1,0)="",0,OFFSET(C18,-1,0)),IF(C$8&lt;$K18,IF(OFFSET(C18,-1,0)="","ERR",OFFSET(C18,-1,0)),""))</f>
        <v/>
      </c>
      <c r="D18" s="11">
        <f>IF($K18=D$8,1+IF(OFFSET(D18,-1,0)="",0,OFFSET(D18,-1,0)),IF(D$8&lt;$K18,IF(OFFSET(D18,-1,0)="","ERR",OFFSET(D18,-1,0)),""))</f>
        <v/>
      </c>
      <c r="E18" s="11">
        <f>IF($K18=E$8,1+IF(OFFSET(E18,-1,0)="",0,OFFSET(E18,-1,0)),IF(E$8&lt;$K18,IF(OFFSET(E18,-1,0)="","ERR",OFFSET(E18,-1,0)),""))</f>
        <v/>
      </c>
      <c r="F18" s="11">
        <f>IF($K18=F$8,1+IF(OFFSET(F18,-1,0)="",0,OFFSET(F18,-1,0)),IF(F$8&lt;$K18,IF(OFFSET(F18,-1,0)="","ERR",OFFSET(F18,-1,0)),""))</f>
        <v/>
      </c>
      <c r="G18" s="11">
        <f>IF($K18=G$8,1+IF(OFFSET(G18,-1,0)="",0,OFFSET(G18,-1,0)),IF(G$8&lt;$K18,IF(OFFSET(G18,-1,0)="","ERR",OFFSET(G18,-1,0)),""))</f>
        <v/>
      </c>
      <c r="H18" s="11">
        <f>IF($K18=H$8,1+IF(OFFSET(H18,-1,0)="",0,OFFSET(H18,-1,0)),IF(H$8&lt;$K18,IF(OFFSET(H18,-1,0)="","ERR",OFFSET(H18,-1,0)),""))</f>
        <v/>
      </c>
      <c r="I18" s="11">
        <f>IF($K18=I$8,1+IF(OFFSET(I18,-1,0)="",0,OFFSET(I18,-1,0)),IF(I$8&lt;$K18,IF(OFFSET(I18,-1,0)="","ERR",OFFSET(I18,-1,0)),""))</f>
        <v/>
      </c>
      <c r="J18" s="49">
        <f>_xlfn.TEXTJOIN(".",1,B18:I18)</f>
        <v/>
      </c>
      <c r="K18" s="49" t="inlineStr">
        <is>
          <t>Л7</t>
        </is>
      </c>
      <c r="L18" s="49" t="n"/>
      <c r="M18" s="63" t="inlineStr">
        <is>
          <t>Прибор приемно-контрольный и управления охранно-пожарный, R3-Рубеж-20П, ООО ТК РУТЕК</t>
        </is>
      </c>
      <c r="N18" s="49" t="inlineStr">
        <is>
          <t>шт</t>
        </is>
      </c>
      <c r="O18" s="50">
        <f>P18+Q18+S18+V18</f>
        <v/>
      </c>
      <c r="P18" s="49" t="n"/>
      <c r="Q18" s="49" t="n">
        <v>6</v>
      </c>
      <c r="R18" s="49" t="n">
        <v>6</v>
      </c>
      <c r="S18" s="49" t="n"/>
      <c r="T18" s="49" t="n"/>
      <c r="U18" s="49" t="n"/>
      <c r="V18" s="49" t="n"/>
      <c r="W18" s="50" t="n">
        <v>1</v>
      </c>
      <c r="X18" s="26" t="n">
        <v>1659174829</v>
      </c>
      <c r="Y18" s="26" t="n">
        <v>165901001</v>
      </c>
      <c r="Z18" s="26" t="inlineStr">
        <is>
          <t xml:space="preserve"> "ТК "РУТЕК"</t>
        </is>
      </c>
      <c r="AA18" s="51" t="inlineStr">
        <is>
          <t>ГТ</t>
        </is>
      </c>
      <c r="AB18" s="188" t="n"/>
      <c r="AC18" s="189" t="n"/>
      <c r="AD18" s="190">
        <f>SUM(AB18:AC18)</f>
        <v/>
      </c>
      <c r="AE18" s="190">
        <f>AB18*$O18*$W18</f>
        <v/>
      </c>
      <c r="AF18" s="190">
        <f>AC18*$O18*$W18</f>
        <v/>
      </c>
      <c r="AG18" s="190">
        <f>SUM(AE18:AF18)</f>
        <v/>
      </c>
      <c r="AH18" s="182" t="n"/>
    </row>
    <row r="19" outlineLevel="1">
      <c r="A19" s="18" t="inlineStr">
        <is>
          <t>О</t>
        </is>
      </c>
      <c r="B19" s="11">
        <f>IF($K19=B$8,1+IF(OFFSET(B19,-1,0)="",0,OFFSET(B19,-1,0)),IF(B$8&lt;$K19,IF(OFFSET(B19,-1,0)="","ERR",OFFSET(B19,-1,0)),""))</f>
        <v/>
      </c>
      <c r="C19" s="11">
        <f>IF($K19=C$8,1+IF(OFFSET(C19,-1,0)="",0,OFFSET(C19,-1,0)),IF(C$8&lt;$K19,IF(OFFSET(C19,-1,0)="","ERR",OFFSET(C19,-1,0)),""))</f>
        <v/>
      </c>
      <c r="D19" s="11">
        <f>IF($K19=D$8,1+IF(OFFSET(D19,-1,0)="",0,OFFSET(D19,-1,0)),IF(D$8&lt;$K19,IF(OFFSET(D19,-1,0)="","ERR",OFFSET(D19,-1,0)),""))</f>
        <v/>
      </c>
      <c r="E19" s="11">
        <f>IF($K19=E$8,1+IF(OFFSET(E19,-1,0)="",0,OFFSET(E19,-1,0)),IF(E$8&lt;$K19,IF(OFFSET(E19,-1,0)="","ERR",OFFSET(E19,-1,0)),""))</f>
        <v/>
      </c>
      <c r="F19" s="11">
        <f>IF($K19=F$8,1+IF(OFFSET(F19,-1,0)="",0,OFFSET(F19,-1,0)),IF(F$8&lt;$K19,IF(OFFSET(F19,-1,0)="","ERR",OFFSET(F19,-1,0)),""))</f>
        <v/>
      </c>
      <c r="G19" s="11">
        <f>IF($K19=G$8,1+IF(OFFSET(G19,-1,0)="",0,OFFSET(G19,-1,0)),IF(G$8&lt;$K19,IF(OFFSET(G19,-1,0)="","ERR",OFFSET(G19,-1,0)),""))</f>
        <v/>
      </c>
      <c r="H19" s="11">
        <f>IF($K19=H$8,1+IF(OFFSET(H19,-1,0)="",0,OFFSET(H19,-1,0)),IF(H$8&lt;$K19,IF(OFFSET(H19,-1,0)="","ERR",OFFSET(H19,-1,0)),""))</f>
        <v/>
      </c>
      <c r="I19" s="11">
        <f>IF($K19=I$8,1+IF(OFFSET(I19,-1,0)="",0,OFFSET(I19,-1,0)),IF(I$8&lt;$K19,IF(OFFSET(I19,-1,0)="","ERR",OFFSET(I19,-1,0)),""))</f>
        <v/>
      </c>
      <c r="J19" s="46">
        <f>_xlfn.TEXTJOIN(".",1,B19:I19)</f>
        <v/>
      </c>
      <c r="K19" s="46" t="inlineStr">
        <is>
          <t>Л7</t>
        </is>
      </c>
      <c r="L19" s="46" t="n"/>
      <c r="M19" s="64" t="inlineStr">
        <is>
          <t>Сопутствующие и прочие материалы*</t>
        </is>
      </c>
      <c r="N19" s="46" t="inlineStr">
        <is>
          <t>шт</t>
        </is>
      </c>
      <c r="O19" s="94">
        <f>P19+Q19+S19+V19</f>
        <v/>
      </c>
      <c r="P19" s="46" t="n"/>
      <c r="Q19" s="46" t="n">
        <v>6</v>
      </c>
      <c r="R19" s="46" t="n">
        <v>6</v>
      </c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8" t="n"/>
      <c r="AB19" s="179" t="n"/>
      <c r="AC19" s="189" t="n"/>
      <c r="AD19" s="189">
        <f>SUM(AB19:AC19)</f>
        <v/>
      </c>
      <c r="AE19" s="189">
        <f>AB19*$O19</f>
        <v/>
      </c>
      <c r="AF19" s="189">
        <f>AC19*$O19</f>
        <v/>
      </c>
      <c r="AG19" s="189">
        <f>SUM(AE19:AF19)</f>
        <v/>
      </c>
      <c r="AH19" s="182" t="n"/>
    </row>
    <row r="20" outlineLevel="1">
      <c r="A20" s="18" t="inlineStr">
        <is>
          <t>О</t>
        </is>
      </c>
      <c r="B20" s="11">
        <f>IF($K20=B$8,1+IF(OFFSET(B20,-1,0)="",0,OFFSET(B20,-1,0)),IF(B$8&lt;$K20,IF(OFFSET(B20,-1,0)="","ERR",OFFSET(B20,-1,0)),""))</f>
        <v/>
      </c>
      <c r="C20" s="11">
        <f>IF($K20=C$8,1+IF(OFFSET(C20,-1,0)="",0,OFFSET(C20,-1,0)),IF(C$8&lt;$K20,IF(OFFSET(C20,-1,0)="","ERR",OFFSET(C20,-1,0)),""))</f>
        <v/>
      </c>
      <c r="D20" s="11">
        <f>IF($K20=D$8,1+IF(OFFSET(D20,-1,0)="",0,OFFSET(D20,-1,0)),IF(D$8&lt;$K20,IF(OFFSET(D20,-1,0)="","ERR",OFFSET(D20,-1,0)),""))</f>
        <v/>
      </c>
      <c r="E20" s="11">
        <f>IF($K20=E$8,1+IF(OFFSET(E20,-1,0)="",0,OFFSET(E20,-1,0)),IF(E$8&lt;$K20,IF(OFFSET(E20,-1,0)="","ERR",OFFSET(E20,-1,0)),""))</f>
        <v/>
      </c>
      <c r="F20" s="11">
        <f>IF($K20=F$8,1+IF(OFFSET(F20,-1,0)="",0,OFFSET(F20,-1,0)),IF(F$8&lt;$K20,IF(OFFSET(F20,-1,0)="","ERR",OFFSET(F20,-1,0)),""))</f>
        <v/>
      </c>
      <c r="G20" s="11">
        <f>IF($K20=G$8,1+IF(OFFSET(G20,-1,0)="",0,OFFSET(G20,-1,0)),IF(G$8&lt;$K20,IF(OFFSET(G20,-1,0)="","ERR",OFFSET(G20,-1,0)),""))</f>
        <v/>
      </c>
      <c r="H20" s="11">
        <f>IF($K20=H$8,1+IF(OFFSET(H20,-1,0)="",0,OFFSET(H20,-1,0)),IF(H$8&lt;$K20,IF(OFFSET(H20,-1,0)="","ERR",OFFSET(H20,-1,0)),""))</f>
        <v/>
      </c>
      <c r="I20" s="11">
        <f>IF($K20=I$8,1+IF(OFFSET(I20,-1,0)="",0,OFFSET(I20,-1,0)),IF(I$8&lt;$K20,IF(OFFSET(I20,-1,0)="","ERR",OFFSET(I20,-1,0)),""))</f>
        <v/>
      </c>
      <c r="J20" s="46">
        <f>_xlfn.TEXTJOIN(".",1,B20:I20)</f>
        <v/>
      </c>
      <c r="K20" s="46" t="inlineStr">
        <is>
          <t>Л6</t>
        </is>
      </c>
      <c r="L20" s="46" t="inlineStr">
        <is>
          <t>3.3.3.4.2.4</t>
        </is>
      </c>
      <c r="M20" s="47" t="inlineStr">
        <is>
          <t>Монтаж источника питания:</t>
        </is>
      </c>
      <c r="N20" s="46" t="inlineStr">
        <is>
          <t>шт</t>
        </is>
      </c>
      <c r="O20" s="94">
        <f>P20+Q20+S20+V20</f>
        <v/>
      </c>
      <c r="P20" s="46" t="n"/>
      <c r="Q20" s="46">
        <f>SUM(Q21:Q22)</f>
        <v/>
      </c>
      <c r="R20" s="46">
        <f>SUM(R21:R22)</f>
        <v/>
      </c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8" t="n"/>
      <c r="AB20" s="187" t="n"/>
      <c r="AC20" s="180" t="n">
        <v>4800</v>
      </c>
      <c r="AD20" s="189">
        <f>SUM(AB20:AC20)</f>
        <v/>
      </c>
      <c r="AE20" s="189">
        <f>AB20*$O20</f>
        <v/>
      </c>
      <c r="AF20" s="189">
        <f>AC20*$O20</f>
        <v/>
      </c>
      <c r="AG20" s="189">
        <f>SUM(AE20:AF20)</f>
        <v/>
      </c>
      <c r="AH20" s="182" t="n"/>
    </row>
    <row r="21" outlineLevel="1" ht="25.5" customHeight="1">
      <c r="A21" s="18" t="inlineStr">
        <is>
          <t>О</t>
        </is>
      </c>
      <c r="B21" s="11">
        <f>IF($K21=B$8,1+IF(OFFSET(B21,-1,0)="",0,OFFSET(B21,-1,0)),IF(B$8&lt;$K21,IF(OFFSET(B21,-1,0)="","ERR",OFFSET(B21,-1,0)),""))</f>
        <v/>
      </c>
      <c r="C21" s="11">
        <f>IF($K21=C$8,1+IF(OFFSET(C21,-1,0)="",0,OFFSET(C21,-1,0)),IF(C$8&lt;$K21,IF(OFFSET(C21,-1,0)="","ERR",OFFSET(C21,-1,0)),""))</f>
        <v/>
      </c>
      <c r="D21" s="11">
        <f>IF($K21=D$8,1+IF(OFFSET(D21,-1,0)="",0,OFFSET(D21,-1,0)),IF(D$8&lt;$K21,IF(OFFSET(D21,-1,0)="","ERR",OFFSET(D21,-1,0)),""))</f>
        <v/>
      </c>
      <c r="E21" s="11">
        <f>IF($K21=E$8,1+IF(OFFSET(E21,-1,0)="",0,OFFSET(E21,-1,0)),IF(E$8&lt;$K21,IF(OFFSET(E21,-1,0)="","ERR",OFFSET(E21,-1,0)),""))</f>
        <v/>
      </c>
      <c r="F21" s="11">
        <f>IF($K21=F$8,1+IF(OFFSET(F21,-1,0)="",0,OFFSET(F21,-1,0)),IF(F$8&lt;$K21,IF(OFFSET(F21,-1,0)="","ERR",OFFSET(F21,-1,0)),""))</f>
        <v/>
      </c>
      <c r="G21" s="11">
        <f>IF($K21=G$8,1+IF(OFFSET(G21,-1,0)="",0,OFFSET(G21,-1,0)),IF(G$8&lt;$K21,IF(OFFSET(G21,-1,0)="","ERR",OFFSET(G21,-1,0)),""))</f>
        <v/>
      </c>
      <c r="H21" s="11">
        <f>IF($K21=H$8,1+IF(OFFSET(H21,-1,0)="",0,OFFSET(H21,-1,0)),IF(H$8&lt;$K21,IF(OFFSET(H21,-1,0)="","ERR",OFFSET(H21,-1,0)),""))</f>
        <v/>
      </c>
      <c r="I21" s="11">
        <f>IF($K21=I$8,1+IF(OFFSET(I21,-1,0)="",0,OFFSET(I21,-1,0)),IF(I$8&lt;$K21,IF(OFFSET(I21,-1,0)="","ERR",OFFSET(I21,-1,0)),""))</f>
        <v/>
      </c>
      <c r="J21" s="49">
        <f>_xlfn.TEXTJOIN(".",1,B21:I21)</f>
        <v/>
      </c>
      <c r="K21" s="49" t="inlineStr">
        <is>
          <t>Л7</t>
        </is>
      </c>
      <c r="L21" s="49" t="n"/>
      <c r="M21" s="63" t="inlineStr">
        <is>
          <t>Источник вторичного электропитания резервированный адресный, ИВЭПР 24/2,5 RS-R3 2х7 БР, ООО ТК РУТЕК</t>
        </is>
      </c>
      <c r="N21" s="49" t="inlineStr">
        <is>
          <t>шт</t>
        </is>
      </c>
      <c r="O21" s="50">
        <f>P21+Q21+S21+V21</f>
        <v/>
      </c>
      <c r="P21" s="49" t="n"/>
      <c r="Q21" s="49" t="n">
        <v>6</v>
      </c>
      <c r="R21" s="49" t="n">
        <v>6</v>
      </c>
      <c r="S21" s="49" t="n"/>
      <c r="T21" s="49" t="n"/>
      <c r="U21" s="49" t="n"/>
      <c r="V21" s="49" t="n"/>
      <c r="W21" s="50" t="n">
        <v>1</v>
      </c>
      <c r="X21" s="26" t="n">
        <v>1659174829</v>
      </c>
      <c r="Y21" s="26" t="n">
        <v>165901001</v>
      </c>
      <c r="Z21" s="26" t="inlineStr">
        <is>
          <t xml:space="preserve"> "ТК "РУТЕК"</t>
        </is>
      </c>
      <c r="AA21" s="51" t="inlineStr">
        <is>
          <t>ГТ</t>
        </is>
      </c>
      <c r="AB21" s="188" t="n"/>
      <c r="AC21" s="189" t="n"/>
      <c r="AD21" s="190">
        <f>SUM(AB21:AC21)</f>
        <v/>
      </c>
      <c r="AE21" s="190">
        <f>AB21*$O21*$W21</f>
        <v/>
      </c>
      <c r="AF21" s="190">
        <f>AC21*$O21*$W21</f>
        <v/>
      </c>
      <c r="AG21" s="190">
        <f>SUM(AE21:AF21)</f>
        <v/>
      </c>
      <c r="AH21" s="182" t="n"/>
    </row>
    <row r="22" outlineLevel="1">
      <c r="A22" s="18" t="inlineStr">
        <is>
          <t>О</t>
        </is>
      </c>
      <c r="B22" s="11">
        <f>IF($K22=B$8,1+IF(OFFSET(B22,-1,0)="",0,OFFSET(B22,-1,0)),IF(B$8&lt;$K22,IF(OFFSET(B22,-1,0)="","ERR",OFFSET(B22,-1,0)),""))</f>
        <v/>
      </c>
      <c r="C22" s="11">
        <f>IF($K22=C$8,1+IF(OFFSET(C22,-1,0)="",0,OFFSET(C22,-1,0)),IF(C$8&lt;$K22,IF(OFFSET(C22,-1,0)="","ERR",OFFSET(C22,-1,0)),""))</f>
        <v/>
      </c>
      <c r="D22" s="11">
        <f>IF($K22=D$8,1+IF(OFFSET(D22,-1,0)="",0,OFFSET(D22,-1,0)),IF(D$8&lt;$K22,IF(OFFSET(D22,-1,0)="","ERR",OFFSET(D22,-1,0)),""))</f>
        <v/>
      </c>
      <c r="E22" s="11">
        <f>IF($K22=E$8,1+IF(OFFSET(E22,-1,0)="",0,OFFSET(E22,-1,0)),IF(E$8&lt;$K22,IF(OFFSET(E22,-1,0)="","ERR",OFFSET(E22,-1,0)),""))</f>
        <v/>
      </c>
      <c r="F22" s="11">
        <f>IF($K22=F$8,1+IF(OFFSET(F22,-1,0)="",0,OFFSET(F22,-1,0)),IF(F$8&lt;$K22,IF(OFFSET(F22,-1,0)="","ERR",OFFSET(F22,-1,0)),""))</f>
        <v/>
      </c>
      <c r="G22" s="11">
        <f>IF($K22=G$8,1+IF(OFFSET(G22,-1,0)="",0,OFFSET(G22,-1,0)),IF(G$8&lt;$K22,IF(OFFSET(G22,-1,0)="","ERR",OFFSET(G22,-1,0)),""))</f>
        <v/>
      </c>
      <c r="H22" s="11">
        <f>IF($K22=H$8,1+IF(OFFSET(H22,-1,0)="",0,OFFSET(H22,-1,0)),IF(H$8&lt;$K22,IF(OFFSET(H22,-1,0)="","ERR",OFFSET(H22,-1,0)),""))</f>
        <v/>
      </c>
      <c r="I22" s="11">
        <f>IF($K22=I$8,1+IF(OFFSET(I22,-1,0)="",0,OFFSET(I22,-1,0)),IF(I$8&lt;$K22,IF(OFFSET(I22,-1,0)="","ERR",OFFSET(I22,-1,0)),""))</f>
        <v/>
      </c>
      <c r="J22" s="49">
        <f>_xlfn.TEXTJOIN(".",1,B22:I22)</f>
        <v/>
      </c>
      <c r="K22" s="49" t="inlineStr">
        <is>
          <t>Л7</t>
        </is>
      </c>
      <c r="L22" s="49" t="n"/>
      <c r="M22" s="63" t="inlineStr">
        <is>
          <t>Бокс резервного электропитания, БР 24 2х40</t>
        </is>
      </c>
      <c r="N22" s="49" t="inlineStr">
        <is>
          <t>шт</t>
        </is>
      </c>
      <c r="O22" s="50">
        <f>P22+Q22+S22+V22</f>
        <v/>
      </c>
      <c r="P22" s="49" t="n"/>
      <c r="Q22" s="49" t="n">
        <v>6</v>
      </c>
      <c r="R22" s="49" t="n">
        <v>6</v>
      </c>
      <c r="S22" s="49" t="n"/>
      <c r="T22" s="49" t="n"/>
      <c r="U22" s="49" t="n"/>
      <c r="V22" s="49" t="n"/>
      <c r="W22" s="50" t="n">
        <v>1</v>
      </c>
      <c r="X22" s="26" t="n">
        <v>1659174829</v>
      </c>
      <c r="Y22" s="26" t="n">
        <v>165901001</v>
      </c>
      <c r="Z22" s="26" t="inlineStr">
        <is>
          <t xml:space="preserve"> "ТК "РУТЕК"</t>
        </is>
      </c>
      <c r="AA22" s="51" t="inlineStr">
        <is>
          <t>ГТ</t>
        </is>
      </c>
      <c r="AB22" s="188" t="n"/>
      <c r="AC22" s="189" t="n"/>
      <c r="AD22" s="190">
        <f>SUM(AB22:AC22)</f>
        <v/>
      </c>
      <c r="AE22" s="190">
        <f>AB22*$O22*$W22</f>
        <v/>
      </c>
      <c r="AF22" s="190">
        <f>AC22*$O22*$W22</f>
        <v/>
      </c>
      <c r="AG22" s="190">
        <f>SUM(AE22:AF22)</f>
        <v/>
      </c>
      <c r="AH22" s="182" t="n"/>
    </row>
    <row r="23" outlineLevel="1">
      <c r="A23" s="18" t="inlineStr">
        <is>
          <t>О</t>
        </is>
      </c>
      <c r="B23" s="11">
        <f>IF($K23=B$8,1+IF(OFFSET(B23,-1,0)="",0,OFFSET(B23,-1,0)),IF(B$8&lt;$K23,IF(OFFSET(B23,-1,0)="","ERR",OFFSET(B23,-1,0)),""))</f>
        <v/>
      </c>
      <c r="C23" s="11">
        <f>IF($K23=C$8,1+IF(OFFSET(C23,-1,0)="",0,OFFSET(C23,-1,0)),IF(C$8&lt;$K23,IF(OFFSET(C23,-1,0)="","ERR",OFFSET(C23,-1,0)),""))</f>
        <v/>
      </c>
      <c r="D23" s="11">
        <f>IF($K23=D$8,1+IF(OFFSET(D23,-1,0)="",0,OFFSET(D23,-1,0)),IF(D$8&lt;$K23,IF(OFFSET(D23,-1,0)="","ERR",OFFSET(D23,-1,0)),""))</f>
        <v/>
      </c>
      <c r="E23" s="11">
        <f>IF($K23=E$8,1+IF(OFFSET(E23,-1,0)="",0,OFFSET(E23,-1,0)),IF(E$8&lt;$K23,IF(OFFSET(E23,-1,0)="","ERR",OFFSET(E23,-1,0)),""))</f>
        <v/>
      </c>
      <c r="F23" s="11">
        <f>IF($K23=F$8,1+IF(OFFSET(F23,-1,0)="",0,OFFSET(F23,-1,0)),IF(F$8&lt;$K23,IF(OFFSET(F23,-1,0)="","ERR",OFFSET(F23,-1,0)),""))</f>
        <v/>
      </c>
      <c r="G23" s="11">
        <f>IF($K23=G$8,1+IF(OFFSET(G23,-1,0)="",0,OFFSET(G23,-1,0)),IF(G$8&lt;$K23,IF(OFFSET(G23,-1,0)="","ERR",OFFSET(G23,-1,0)),""))</f>
        <v/>
      </c>
      <c r="H23" s="11">
        <f>IF($K23=H$8,1+IF(OFFSET(H23,-1,0)="",0,OFFSET(H23,-1,0)),IF(H$8&lt;$K23,IF(OFFSET(H23,-1,0)="","ERR",OFFSET(H23,-1,0)),""))</f>
        <v/>
      </c>
      <c r="I23" s="11">
        <f>IF($K23=I$8,1+IF(OFFSET(I23,-1,0)="",0,OFFSET(I23,-1,0)),IF(I$8&lt;$K23,IF(OFFSET(I23,-1,0)="","ERR",OFFSET(I23,-1,0)),""))</f>
        <v/>
      </c>
      <c r="J23" s="46">
        <f>_xlfn.TEXTJOIN(".",1,B23:I23)</f>
        <v/>
      </c>
      <c r="K23" s="46" t="inlineStr">
        <is>
          <t>Л7</t>
        </is>
      </c>
      <c r="L23" s="46" t="n"/>
      <c r="M23" s="64" t="inlineStr">
        <is>
          <t>Сопутствующие и прочие материалы*</t>
        </is>
      </c>
      <c r="N23" s="46" t="inlineStr">
        <is>
          <t>шт</t>
        </is>
      </c>
      <c r="O23" s="94">
        <f>P23+Q23+S23+V23</f>
        <v/>
      </c>
      <c r="P23" s="46" t="n"/>
      <c r="Q23" s="46">
        <f>SUM(Q21:Q22)</f>
        <v/>
      </c>
      <c r="R23" s="46">
        <f>SUM(R21:R22)</f>
        <v/>
      </c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8" t="n"/>
      <c r="AB23" s="179" t="n"/>
      <c r="AC23" s="189" t="n"/>
      <c r="AD23" s="189">
        <f>SUM(AB23:AC23)</f>
        <v/>
      </c>
      <c r="AE23" s="189">
        <f>AB23*$O23</f>
        <v/>
      </c>
      <c r="AF23" s="189">
        <f>AC23*$O23</f>
        <v/>
      </c>
      <c r="AG23" s="189">
        <f>SUM(AE23:AF23)</f>
        <v/>
      </c>
      <c r="AH23" s="182" t="n"/>
    </row>
    <row r="24" outlineLevel="1" ht="25.5" customHeight="1">
      <c r="A24" s="18" t="inlineStr">
        <is>
          <t>О</t>
        </is>
      </c>
      <c r="B24" s="11">
        <f>IF($K24=B$8,1+IF(OFFSET(B24,-1,0)="",0,OFFSET(B24,-1,0)),IF(B$8&lt;$K24,IF(OFFSET(B24,-1,0)="","ERR",OFFSET(B24,-1,0)),""))</f>
        <v/>
      </c>
      <c r="C24" s="11">
        <f>IF($K24=C$8,1+IF(OFFSET(C24,-1,0)="",0,OFFSET(C24,-1,0)),IF(C$8&lt;$K24,IF(OFFSET(C24,-1,0)="","ERR",OFFSET(C24,-1,0)),""))</f>
        <v/>
      </c>
      <c r="D24" s="11">
        <f>IF($K24=D$8,1+IF(OFFSET(D24,-1,0)="",0,OFFSET(D24,-1,0)),IF(D$8&lt;$K24,IF(OFFSET(D24,-1,0)="","ERR",OFFSET(D24,-1,0)),""))</f>
        <v/>
      </c>
      <c r="E24" s="11">
        <f>IF($K24=E$8,1+IF(OFFSET(E24,-1,0)="",0,OFFSET(E24,-1,0)),IF(E$8&lt;$K24,IF(OFFSET(E24,-1,0)="","ERR",OFFSET(E24,-1,0)),""))</f>
        <v/>
      </c>
      <c r="F24" s="11">
        <f>IF($K24=F$8,1+IF(OFFSET(F24,-1,0)="",0,OFFSET(F24,-1,0)),IF(F$8&lt;$K24,IF(OFFSET(F24,-1,0)="","ERR",OFFSET(F24,-1,0)),""))</f>
        <v/>
      </c>
      <c r="G24" s="11">
        <f>IF($K24=G$8,1+IF(OFFSET(G24,-1,0)="",0,OFFSET(G24,-1,0)),IF(G$8&lt;$K24,IF(OFFSET(G24,-1,0)="","ERR",OFFSET(G24,-1,0)),""))</f>
        <v/>
      </c>
      <c r="H24" s="11">
        <f>IF($K24=H$8,1+IF(OFFSET(H24,-1,0)="",0,OFFSET(H24,-1,0)),IF(H$8&lt;$K24,IF(OFFSET(H24,-1,0)="","ERR",OFFSET(H24,-1,0)),""))</f>
        <v/>
      </c>
      <c r="I24" s="11">
        <f>IF($K24=I$8,1+IF(OFFSET(I24,-1,0)="",0,OFFSET(I24,-1,0)),IF(I$8&lt;$K24,IF(OFFSET(I24,-1,0)="","ERR",OFFSET(I24,-1,0)),""))</f>
        <v/>
      </c>
      <c r="J24" s="46">
        <f>_xlfn.TEXTJOIN(".",1,B24:I24)</f>
        <v/>
      </c>
      <c r="K24" s="46" t="inlineStr">
        <is>
          <t>Л6</t>
        </is>
      </c>
      <c r="L24" s="46" t="inlineStr">
        <is>
          <t>3.3.3.4.2.5</t>
        </is>
      </c>
      <c r="M24" s="47" t="inlineStr">
        <is>
          <t>Монтаж аккумуляторной батареи: Аккумулятор свинцово-кислотный, PTK-BATTERY АКБ 12V - 7Ah, DELTA Battery</t>
        </is>
      </c>
      <c r="N24" s="46" t="inlineStr">
        <is>
          <t>шт</t>
        </is>
      </c>
      <c r="O24" s="94">
        <f>P24+Q24+S24+V24</f>
        <v/>
      </c>
      <c r="P24" s="46" t="n"/>
      <c r="Q24" s="46" t="n">
        <v>12</v>
      </c>
      <c r="R24" s="46" t="n">
        <v>12</v>
      </c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8" t="n"/>
      <c r="AB24" s="179" t="n"/>
      <c r="AC24" s="180" t="n">
        <v>400</v>
      </c>
      <c r="AD24" s="189">
        <f>SUM(AB24:AC24)</f>
        <v/>
      </c>
      <c r="AE24" s="189">
        <f>AB24*$O24</f>
        <v/>
      </c>
      <c r="AF24" s="189">
        <f>AC24*$O24</f>
        <v/>
      </c>
      <c r="AG24" s="189">
        <f>SUM(AE24:AF24)</f>
        <v/>
      </c>
      <c r="AH24" s="182" t="n"/>
    </row>
    <row r="25" outlineLevel="1" ht="25.5" customHeight="1">
      <c r="A25" s="18" t="inlineStr">
        <is>
          <t>О</t>
        </is>
      </c>
      <c r="B25" s="11">
        <f>IF($K25=B$8,1+IF(OFFSET(B25,-1,0)="",0,OFFSET(B25,-1,0)),IF(B$8&lt;$K25,IF(OFFSET(B25,-1,0)="","ERR",OFFSET(B25,-1,0)),""))</f>
        <v/>
      </c>
      <c r="C25" s="11">
        <f>IF($K25=C$8,1+IF(OFFSET(C25,-1,0)="",0,OFFSET(C25,-1,0)),IF(C$8&lt;$K25,IF(OFFSET(C25,-1,0)="","ERR",OFFSET(C25,-1,0)),""))</f>
        <v/>
      </c>
      <c r="D25" s="11">
        <f>IF($K25=D$8,1+IF(OFFSET(D25,-1,0)="",0,OFFSET(D25,-1,0)),IF(D$8&lt;$K25,IF(OFFSET(D25,-1,0)="","ERR",OFFSET(D25,-1,0)),""))</f>
        <v/>
      </c>
      <c r="E25" s="11">
        <f>IF($K25=E$8,1+IF(OFFSET(E25,-1,0)="",0,OFFSET(E25,-1,0)),IF(E$8&lt;$K25,IF(OFFSET(E25,-1,0)="","ERR",OFFSET(E25,-1,0)),""))</f>
        <v/>
      </c>
      <c r="F25" s="11">
        <f>IF($K25=F$8,1+IF(OFFSET(F25,-1,0)="",0,OFFSET(F25,-1,0)),IF(F$8&lt;$K25,IF(OFFSET(F25,-1,0)="","ERR",OFFSET(F25,-1,0)),""))</f>
        <v/>
      </c>
      <c r="G25" s="11">
        <f>IF($K25=G$8,1+IF(OFFSET(G25,-1,0)="",0,OFFSET(G25,-1,0)),IF(G$8&lt;$K25,IF(OFFSET(G25,-1,0)="","ERR",OFFSET(G25,-1,0)),""))</f>
        <v/>
      </c>
      <c r="H25" s="11">
        <f>IF($K25=H$8,1+IF(OFFSET(H25,-1,0)="",0,OFFSET(H25,-1,0)),IF(H$8&lt;$K25,IF(OFFSET(H25,-1,0)="","ERR",OFFSET(H25,-1,0)),""))</f>
        <v/>
      </c>
      <c r="I25" s="11">
        <f>IF($K25=I$8,1+IF(OFFSET(I25,-1,0)="",0,OFFSET(I25,-1,0)),IF(I$8&lt;$K25,IF(OFFSET(I25,-1,0)="","ERR",OFFSET(I25,-1,0)),""))</f>
        <v/>
      </c>
      <c r="J25" s="46">
        <f>_xlfn.TEXTJOIN(".",1,B25:I25)</f>
        <v/>
      </c>
      <c r="K25" s="46" t="inlineStr">
        <is>
          <t>Л6</t>
        </is>
      </c>
      <c r="L25" s="46" t="inlineStr">
        <is>
          <t>3.3.3.4.2.5</t>
        </is>
      </c>
      <c r="M25" s="47" t="inlineStr">
        <is>
          <t>Монтаж аккумуляторной батареи: Аккумулятор свинцово-кислотный, PTK-BATTERY АКБ 12V - 26Ah, DELTA Battery</t>
        </is>
      </c>
      <c r="N25" s="46" t="inlineStr">
        <is>
          <t>шт</t>
        </is>
      </c>
      <c r="O25" s="94">
        <f>P25+Q25+S25+V25</f>
        <v/>
      </c>
      <c r="P25" s="46" t="n"/>
      <c r="Q25" s="46" t="n">
        <v>12</v>
      </c>
      <c r="R25" s="46" t="n">
        <v>12</v>
      </c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8" t="n"/>
      <c r="AB25" s="179" t="n"/>
      <c r="AC25" s="180" t="n">
        <v>550</v>
      </c>
      <c r="AD25" s="189">
        <f>SUM(AB25:AC25)</f>
        <v/>
      </c>
      <c r="AE25" s="189">
        <f>AB25*$O25</f>
        <v/>
      </c>
      <c r="AF25" s="189">
        <f>AC25*$O25</f>
        <v/>
      </c>
      <c r="AG25" s="189">
        <f>SUM(AE25:AF25)</f>
        <v/>
      </c>
      <c r="AH25" s="182" t="n"/>
    </row>
    <row r="26" outlineLevel="1">
      <c r="A26" s="18" t="inlineStr">
        <is>
          <t>О</t>
        </is>
      </c>
      <c r="B26" s="11">
        <f>IF($K26=B$8,1+IF(OFFSET(B26,-1,0)="",0,OFFSET(B26,-1,0)),IF(B$8&lt;$K26,IF(OFFSET(B26,-1,0)="","ERR",OFFSET(B26,-1,0)),""))</f>
        <v/>
      </c>
      <c r="C26" s="11">
        <f>IF($K26=C$8,1+IF(OFFSET(C26,-1,0)="",0,OFFSET(C26,-1,0)),IF(C$8&lt;$K26,IF(OFFSET(C26,-1,0)="","ERR",OFFSET(C26,-1,0)),""))</f>
        <v/>
      </c>
      <c r="D26" s="11">
        <f>IF($K26=D$8,1+IF(OFFSET(D26,-1,0)="",0,OFFSET(D26,-1,0)),IF(D$8&lt;$K26,IF(OFFSET(D26,-1,0)="","ERR",OFFSET(D26,-1,0)),""))</f>
        <v/>
      </c>
      <c r="E26" s="11">
        <f>IF($K26=E$8,1+IF(OFFSET(E26,-1,0)="",0,OFFSET(E26,-1,0)),IF(E$8&lt;$K26,IF(OFFSET(E26,-1,0)="","ERR",OFFSET(E26,-1,0)),""))</f>
        <v/>
      </c>
      <c r="F26" s="11">
        <f>IF($K26=F$8,1+IF(OFFSET(F26,-1,0)="",0,OFFSET(F26,-1,0)),IF(F$8&lt;$K26,IF(OFFSET(F26,-1,0)="","ERR",OFFSET(F26,-1,0)),""))</f>
        <v/>
      </c>
      <c r="G26" s="11">
        <f>IF($K26=G$8,1+IF(OFFSET(G26,-1,0)="",0,OFFSET(G26,-1,0)),IF(G$8&lt;$K26,IF(OFFSET(G26,-1,0)="","ERR",OFFSET(G26,-1,0)),""))</f>
        <v/>
      </c>
      <c r="H26" s="11">
        <f>IF($K26=H$8,1+IF(OFFSET(H26,-1,0)="",0,OFFSET(H26,-1,0)),IF(H$8&lt;$K26,IF(OFFSET(H26,-1,0)="","ERR",OFFSET(H26,-1,0)),""))</f>
        <v/>
      </c>
      <c r="I26" s="11">
        <f>IF($K26=I$8,1+IF(OFFSET(I26,-1,0)="",0,OFFSET(I26,-1,0)),IF(I$8&lt;$K26,IF(OFFSET(I26,-1,0)="","ERR",OFFSET(I26,-1,0)),""))</f>
        <v/>
      </c>
      <c r="J26" s="46">
        <f>_xlfn.TEXTJOIN(".",1,B26:I26)</f>
        <v/>
      </c>
      <c r="K26" s="46" t="inlineStr">
        <is>
          <t>Л6</t>
        </is>
      </c>
      <c r="L26" s="46" t="inlineStr">
        <is>
          <t>3.3.3.4.2.11</t>
        </is>
      </c>
      <c r="M26" s="47" t="inlineStr">
        <is>
          <t>Монтаж размыкателя линии (изолятора шлейфа)</t>
        </is>
      </c>
      <c r="N26" s="46" t="inlineStr">
        <is>
          <t>шт</t>
        </is>
      </c>
      <c r="O26" s="94">
        <f>P26+Q26+S26+V26</f>
        <v/>
      </c>
      <c r="P26" s="46">
        <f>P27</f>
        <v/>
      </c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8" t="n"/>
      <c r="AB26" s="187" t="n"/>
      <c r="AC26" s="180" t="n">
        <v>300</v>
      </c>
      <c r="AD26" s="189">
        <f>SUM(AB26:AC26)</f>
        <v/>
      </c>
      <c r="AE26" s="189">
        <f>AB26*$O26</f>
        <v/>
      </c>
      <c r="AF26" s="189">
        <f>AC26*$O26</f>
        <v/>
      </c>
      <c r="AG26" s="189">
        <f>SUM(AE26:AF26)</f>
        <v/>
      </c>
      <c r="AH26" s="182" t="n"/>
    </row>
    <row r="27" outlineLevel="1">
      <c r="A27" s="18" t="inlineStr">
        <is>
          <t>О</t>
        </is>
      </c>
      <c r="B27" s="11">
        <f>IF($K27=B$8,1+IF(OFFSET(B27,-1,0)="",0,OFFSET(B27,-1,0)),IF(B$8&lt;$K27,IF(OFFSET(B27,-1,0)="","ERR",OFFSET(B27,-1,0)),""))</f>
        <v/>
      </c>
      <c r="C27" s="11">
        <f>IF($K27=C$8,1+IF(OFFSET(C27,-1,0)="",0,OFFSET(C27,-1,0)),IF(C$8&lt;$K27,IF(OFFSET(C27,-1,0)="","ERR",OFFSET(C27,-1,0)),""))</f>
        <v/>
      </c>
      <c r="D27" s="11">
        <f>IF($K27=D$8,1+IF(OFFSET(D27,-1,0)="",0,OFFSET(D27,-1,0)),IF(D$8&lt;$K27,IF(OFFSET(D27,-1,0)="","ERR",OFFSET(D27,-1,0)),""))</f>
        <v/>
      </c>
      <c r="E27" s="11">
        <f>IF($K27=E$8,1+IF(OFFSET(E27,-1,0)="",0,OFFSET(E27,-1,0)),IF(E$8&lt;$K27,IF(OFFSET(E27,-1,0)="","ERR",OFFSET(E27,-1,0)),""))</f>
        <v/>
      </c>
      <c r="F27" s="11">
        <f>IF($K27=F$8,1+IF(OFFSET(F27,-1,0)="",0,OFFSET(F27,-1,0)),IF(F$8&lt;$K27,IF(OFFSET(F27,-1,0)="","ERR",OFFSET(F27,-1,0)),""))</f>
        <v/>
      </c>
      <c r="G27" s="11">
        <f>IF($K27=G$8,1+IF(OFFSET(G27,-1,0)="",0,OFFSET(G27,-1,0)),IF(G$8&lt;$K27,IF(OFFSET(G27,-1,0)="","ERR",OFFSET(G27,-1,0)),""))</f>
        <v/>
      </c>
      <c r="H27" s="11">
        <f>IF($K27=H$8,1+IF(OFFSET(H27,-1,0)="",0,OFFSET(H27,-1,0)),IF(H$8&lt;$K27,IF(OFFSET(H27,-1,0)="","ERR",OFFSET(H27,-1,0)),""))</f>
        <v/>
      </c>
      <c r="I27" s="11">
        <f>IF($K27=I$8,1+IF(OFFSET(I27,-1,0)="",0,OFFSET(I27,-1,0)),IF(I$8&lt;$K27,IF(OFFSET(I27,-1,0)="","ERR",OFFSET(I27,-1,0)),""))</f>
        <v/>
      </c>
      <c r="J27" s="49">
        <f>_xlfn.TEXTJOIN(".",1,B27:I27)</f>
        <v/>
      </c>
      <c r="K27" s="49" t="inlineStr">
        <is>
          <t>Л7</t>
        </is>
      </c>
      <c r="L27" s="49" t="n"/>
      <c r="M27" s="63" t="inlineStr">
        <is>
          <t>Изолятор шлейфа, ИЗ-1-R3, ООО ТК РУТЕК</t>
        </is>
      </c>
      <c r="N27" s="49" t="inlineStr">
        <is>
          <t>шт</t>
        </is>
      </c>
      <c r="O27" s="50">
        <f>P27+Q27+S27+V27</f>
        <v/>
      </c>
      <c r="P27" s="49" t="n">
        <v>155</v>
      </c>
      <c r="Q27" s="49" t="n"/>
      <c r="R27" s="49" t="n"/>
      <c r="S27" s="49" t="n"/>
      <c r="T27" s="49" t="n"/>
      <c r="U27" s="49" t="n"/>
      <c r="V27" s="49" t="n"/>
      <c r="W27" s="50" t="n">
        <v>1</v>
      </c>
      <c r="X27" s="26" t="n">
        <v>1659174829</v>
      </c>
      <c r="Y27" s="26" t="n">
        <v>165901001</v>
      </c>
      <c r="Z27" s="26" t="inlineStr">
        <is>
          <t xml:space="preserve"> "ТК "РУТЕК"</t>
        </is>
      </c>
      <c r="AA27" s="51" t="inlineStr">
        <is>
          <t>ГТ</t>
        </is>
      </c>
      <c r="AB27" s="188" t="n"/>
      <c r="AC27" s="189" t="n"/>
      <c r="AD27" s="190">
        <f>SUM(AB27:AC27)</f>
        <v/>
      </c>
      <c r="AE27" s="190">
        <f>AB27*$O27*$W27</f>
        <v/>
      </c>
      <c r="AF27" s="190">
        <f>AC27*$O27*$W27</f>
        <v/>
      </c>
      <c r="AG27" s="190">
        <f>SUM(AE27:AF27)</f>
        <v/>
      </c>
      <c r="AH27" s="182" t="n"/>
    </row>
    <row r="28" outlineLevel="1">
      <c r="A28" s="18" t="inlineStr">
        <is>
          <t>О</t>
        </is>
      </c>
      <c r="B28" s="11">
        <f>IF($K28=B$8,1+IF(OFFSET(B28,-1,0)="",0,OFFSET(B28,-1,0)),IF(B$8&lt;$K28,IF(OFFSET(B28,-1,0)="","ERR",OFFSET(B28,-1,0)),""))</f>
        <v/>
      </c>
      <c r="C28" s="11">
        <f>IF($K28=C$8,1+IF(OFFSET(C28,-1,0)="",0,OFFSET(C28,-1,0)),IF(C$8&lt;$K28,IF(OFFSET(C28,-1,0)="","ERR",OFFSET(C28,-1,0)),""))</f>
        <v/>
      </c>
      <c r="D28" s="11">
        <f>IF($K28=D$8,1+IF(OFFSET(D28,-1,0)="",0,OFFSET(D28,-1,0)),IF(D$8&lt;$K28,IF(OFFSET(D28,-1,0)="","ERR",OFFSET(D28,-1,0)),""))</f>
        <v/>
      </c>
      <c r="E28" s="11">
        <f>IF($K28=E$8,1+IF(OFFSET(E28,-1,0)="",0,OFFSET(E28,-1,0)),IF(E$8&lt;$K28,IF(OFFSET(E28,-1,0)="","ERR",OFFSET(E28,-1,0)),""))</f>
        <v/>
      </c>
      <c r="F28" s="11">
        <f>IF($K28=F$8,1+IF(OFFSET(F28,-1,0)="",0,OFFSET(F28,-1,0)),IF(F$8&lt;$K28,IF(OFFSET(F28,-1,0)="","ERR",OFFSET(F28,-1,0)),""))</f>
        <v/>
      </c>
      <c r="G28" s="11">
        <f>IF($K28=G$8,1+IF(OFFSET(G28,-1,0)="",0,OFFSET(G28,-1,0)),IF(G$8&lt;$K28,IF(OFFSET(G28,-1,0)="","ERR",OFFSET(G28,-1,0)),""))</f>
        <v/>
      </c>
      <c r="H28" s="11">
        <f>IF($K28=H$8,1+IF(OFFSET(H28,-1,0)="",0,OFFSET(H28,-1,0)),IF(H$8&lt;$K28,IF(OFFSET(H28,-1,0)="","ERR",OFFSET(H28,-1,0)),""))</f>
        <v/>
      </c>
      <c r="I28" s="11">
        <f>IF($K28=I$8,1+IF(OFFSET(I28,-1,0)="",0,OFFSET(I28,-1,0)),IF(I$8&lt;$K28,IF(OFFSET(I28,-1,0)="","ERR",OFFSET(I28,-1,0)),""))</f>
        <v/>
      </c>
      <c r="J28" s="46">
        <f>_xlfn.TEXTJOIN(".",1,B28:I28)</f>
        <v/>
      </c>
      <c r="K28" s="46" t="inlineStr">
        <is>
          <t>Л7</t>
        </is>
      </c>
      <c r="L28" s="46" t="n"/>
      <c r="M28" s="64" t="inlineStr">
        <is>
          <t>Сопутствующие и прочие материалы*</t>
        </is>
      </c>
      <c r="N28" s="46" t="inlineStr">
        <is>
          <t>шт</t>
        </is>
      </c>
      <c r="O28" s="94">
        <f>P28+Q28+S28+V28</f>
        <v/>
      </c>
      <c r="P28" s="46">
        <f>P27</f>
        <v/>
      </c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8" t="n"/>
      <c r="AB28" s="179" t="n"/>
      <c r="AC28" s="189" t="n"/>
      <c r="AD28" s="189">
        <f>SUM(AB28:AC28)</f>
        <v/>
      </c>
      <c r="AE28" s="189">
        <f>AB28*$O28</f>
        <v/>
      </c>
      <c r="AF28" s="189">
        <f>AC28*$O28</f>
        <v/>
      </c>
      <c r="AG28" s="189">
        <f>SUM(AE28:AF28)</f>
        <v/>
      </c>
      <c r="AH28" s="182" t="n"/>
    </row>
    <row r="29" outlineLevel="1">
      <c r="A29" s="18" t="inlineStr">
        <is>
          <t>О</t>
        </is>
      </c>
      <c r="B29" s="11">
        <f>IF($K29=B$8,1+IF(OFFSET(B29,-1,0)="",0,OFFSET(B29,-1,0)),IF(B$8&lt;$K29,IF(OFFSET(B29,-1,0)="","ERR",OFFSET(B29,-1,0)),""))</f>
        <v/>
      </c>
      <c r="C29" s="11">
        <f>IF($K29=C$8,1+IF(OFFSET(C29,-1,0)="",0,OFFSET(C29,-1,0)),IF(C$8&lt;$K29,IF(OFFSET(C29,-1,0)="","ERR",OFFSET(C29,-1,0)),""))</f>
        <v/>
      </c>
      <c r="D29" s="11">
        <f>IF($K29=D$8,1+IF(OFFSET(D29,-1,0)="",0,OFFSET(D29,-1,0)),IF(D$8&lt;$K29,IF(OFFSET(D29,-1,0)="","ERR",OFFSET(D29,-1,0)),""))</f>
        <v/>
      </c>
      <c r="E29" s="11">
        <f>IF($K29=E$8,1+IF(OFFSET(E29,-1,0)="",0,OFFSET(E29,-1,0)),IF(E$8&lt;$K29,IF(OFFSET(E29,-1,0)="","ERR",OFFSET(E29,-1,0)),""))</f>
        <v/>
      </c>
      <c r="F29" s="11">
        <f>IF($K29=F$8,1+IF(OFFSET(F29,-1,0)="",0,OFFSET(F29,-1,0)),IF(F$8&lt;$K29,IF(OFFSET(F29,-1,0)="","ERR",OFFSET(F29,-1,0)),""))</f>
        <v/>
      </c>
      <c r="G29" s="11">
        <f>IF($K29=G$8,1+IF(OFFSET(G29,-1,0)="",0,OFFSET(G29,-1,0)),IF(G$8&lt;$K29,IF(OFFSET(G29,-1,0)="","ERR",OFFSET(G29,-1,0)),""))</f>
        <v/>
      </c>
      <c r="H29" s="11">
        <f>IF($K29=H$8,1+IF(OFFSET(H29,-1,0)="",0,OFFSET(H29,-1,0)),IF(H$8&lt;$K29,IF(OFFSET(H29,-1,0)="","ERR",OFFSET(H29,-1,0)),""))</f>
        <v/>
      </c>
      <c r="I29" s="11">
        <f>IF($K29=I$8,1+IF(OFFSET(I29,-1,0)="",0,OFFSET(I29,-1,0)),IF(I$8&lt;$K29,IF(OFFSET(I29,-1,0)="","ERR",OFFSET(I29,-1,0)),""))</f>
        <v/>
      </c>
      <c r="J29" s="46">
        <f>_xlfn.TEXTJOIN(".",1,B29:I29)</f>
        <v/>
      </c>
      <c r="K29" s="46" t="inlineStr">
        <is>
          <t>Л6</t>
        </is>
      </c>
      <c r="L29" s="46" t="inlineStr">
        <is>
          <t>3.3.3.4.2.24</t>
        </is>
      </c>
      <c r="M29" s="47" t="inlineStr">
        <is>
          <t>Монтаж извещателя пожарного</t>
        </is>
      </c>
      <c r="N29" s="46" t="inlineStr">
        <is>
          <t>шт</t>
        </is>
      </c>
      <c r="O29" s="94">
        <f>P29+Q29+S29+V29</f>
        <v/>
      </c>
      <c r="P29" s="46">
        <f>P30+P31+P33+P32</f>
        <v/>
      </c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8" t="n"/>
      <c r="AB29" s="187" t="n"/>
      <c r="AC29" s="180" t="n">
        <v>520</v>
      </c>
      <c r="AD29" s="189">
        <f>SUM(AB29:AC29)</f>
        <v/>
      </c>
      <c r="AE29" s="189">
        <f>AB29*$O29</f>
        <v/>
      </c>
      <c r="AF29" s="189">
        <f>AC29*$O29</f>
        <v/>
      </c>
      <c r="AG29" s="189">
        <f>SUM(AE29:AF29)</f>
        <v/>
      </c>
      <c r="AH29" s="182" t="n"/>
    </row>
    <row r="30" outlineLevel="1" ht="25.5" customHeight="1">
      <c r="A30" s="18" t="inlineStr">
        <is>
          <t>О</t>
        </is>
      </c>
      <c r="B30" s="11">
        <f>IF($K30=B$8,1+IF(OFFSET(B30,-1,0)="",0,OFFSET(B30,-1,0)),IF(B$8&lt;$K30,IF(OFFSET(B30,-1,0)="","ERR",OFFSET(B30,-1,0)),""))</f>
        <v/>
      </c>
      <c r="C30" s="11">
        <f>IF($K30=C$8,1+IF(OFFSET(C30,-1,0)="",0,OFFSET(C30,-1,0)),IF(C$8&lt;$K30,IF(OFFSET(C30,-1,0)="","ERR",OFFSET(C30,-1,0)),""))</f>
        <v/>
      </c>
      <c r="D30" s="11">
        <f>IF($K30=D$8,1+IF(OFFSET(D30,-1,0)="",0,OFFSET(D30,-1,0)),IF(D$8&lt;$K30,IF(OFFSET(D30,-1,0)="","ERR",OFFSET(D30,-1,0)),""))</f>
        <v/>
      </c>
      <c r="E30" s="11">
        <f>IF($K30=E$8,1+IF(OFFSET(E30,-1,0)="",0,OFFSET(E30,-1,0)),IF(E$8&lt;$K30,IF(OFFSET(E30,-1,0)="","ERR",OFFSET(E30,-1,0)),""))</f>
        <v/>
      </c>
      <c r="F30" s="11">
        <f>IF($K30=F$8,1+IF(OFFSET(F30,-1,0)="",0,OFFSET(F30,-1,0)),IF(F$8&lt;$K30,IF(OFFSET(F30,-1,0)="","ERR",OFFSET(F30,-1,0)),""))</f>
        <v/>
      </c>
      <c r="G30" s="11">
        <f>IF($K30=G$8,1+IF(OFFSET(G30,-1,0)="",0,OFFSET(G30,-1,0)),IF(G$8&lt;$K30,IF(OFFSET(G30,-1,0)="","ERR",OFFSET(G30,-1,0)),""))</f>
        <v/>
      </c>
      <c r="H30" s="11">
        <f>IF($K30=H$8,1+IF(OFFSET(H30,-1,0)="",0,OFFSET(H30,-1,0)),IF(H$8&lt;$K30,IF(OFFSET(H30,-1,0)="","ERR",OFFSET(H30,-1,0)),""))</f>
        <v/>
      </c>
      <c r="I30" s="11">
        <f>IF($K30=I$8,1+IF(OFFSET(I30,-1,0)="",0,OFFSET(I30,-1,0)),IF(I$8&lt;$K30,IF(OFFSET(I30,-1,0)="","ERR",OFFSET(I30,-1,0)),""))</f>
        <v/>
      </c>
      <c r="J30" s="49">
        <f>_xlfn.TEXTJOIN(".",1,B30:I30)</f>
        <v/>
      </c>
      <c r="K30" s="49" t="inlineStr">
        <is>
          <t>Л7</t>
        </is>
      </c>
      <c r="L30" s="49" t="n"/>
      <c r="M30" s="63" t="inlineStr">
        <is>
          <t>Извещатель пожарный дымовой опттко-электронный адресно-аналоговый, ИП 212-64R3 W1.02, ООО ТК РУТЕК</t>
        </is>
      </c>
      <c r="N30" s="49" t="inlineStr">
        <is>
          <t>шт</t>
        </is>
      </c>
      <c r="O30" s="50">
        <f>P30+Q30+S30+V30</f>
        <v/>
      </c>
      <c r="P30" s="49" t="n">
        <v>1534</v>
      </c>
      <c r="Q30" s="49" t="n"/>
      <c r="R30" s="49" t="n"/>
      <c r="S30" s="49" t="n"/>
      <c r="T30" s="49" t="n"/>
      <c r="U30" s="49" t="n"/>
      <c r="V30" s="49" t="n"/>
      <c r="W30" s="50" t="n">
        <v>1</v>
      </c>
      <c r="X30" s="26" t="n">
        <v>1659174829</v>
      </c>
      <c r="Y30" s="26" t="n">
        <v>165901001</v>
      </c>
      <c r="Z30" s="26" t="inlineStr">
        <is>
          <t xml:space="preserve"> "ТК "РУТЕК"</t>
        </is>
      </c>
      <c r="AA30" s="51" t="inlineStr">
        <is>
          <t>ГТ</t>
        </is>
      </c>
      <c r="AB30" s="188" t="n"/>
      <c r="AC30" s="189" t="n"/>
      <c r="AD30" s="190">
        <f>SUM(AB30:AC30)</f>
        <v/>
      </c>
      <c r="AE30" s="190">
        <f>AB30*$O30*$W30</f>
        <v/>
      </c>
      <c r="AF30" s="190">
        <f>AC30*$O30*$W30</f>
        <v/>
      </c>
      <c r="AG30" s="190">
        <f>SUM(AE30:AF30)</f>
        <v/>
      </c>
      <c r="AH30" s="182" t="n"/>
    </row>
    <row r="31" outlineLevel="1" ht="25.5" customHeight="1">
      <c r="A31" s="18" t="inlineStr">
        <is>
          <t>О</t>
        </is>
      </c>
      <c r="B31" s="11">
        <f>IF($K31=B$8,1+IF(OFFSET(B31,-1,0)="",0,OFFSET(B31,-1,0)),IF(B$8&lt;$K31,IF(OFFSET(B31,-1,0)="","ERR",OFFSET(B31,-1,0)),""))</f>
        <v/>
      </c>
      <c r="C31" s="11">
        <f>IF($K31=C$8,1+IF(OFFSET(C31,-1,0)="",0,OFFSET(C31,-1,0)),IF(C$8&lt;$K31,IF(OFFSET(C31,-1,0)="","ERR",OFFSET(C31,-1,0)),""))</f>
        <v/>
      </c>
      <c r="D31" s="11">
        <f>IF($K31=D$8,1+IF(OFFSET(D31,-1,0)="",0,OFFSET(D31,-1,0)),IF(D$8&lt;$K31,IF(OFFSET(D31,-1,0)="","ERR",OFFSET(D31,-1,0)),""))</f>
        <v/>
      </c>
      <c r="E31" s="11">
        <f>IF($K31=E$8,1+IF(OFFSET(E31,-1,0)="",0,OFFSET(E31,-1,0)),IF(E$8&lt;$K31,IF(OFFSET(E31,-1,0)="","ERR",OFFSET(E31,-1,0)),""))</f>
        <v/>
      </c>
      <c r="F31" s="11">
        <f>IF($K31=F$8,1+IF(OFFSET(F31,-1,0)="",0,OFFSET(F31,-1,0)),IF(F$8&lt;$K31,IF(OFFSET(F31,-1,0)="","ERR",OFFSET(F31,-1,0)),""))</f>
        <v/>
      </c>
      <c r="G31" s="11">
        <f>IF($K31=G$8,1+IF(OFFSET(G31,-1,0)="",0,OFFSET(G31,-1,0)),IF(G$8&lt;$K31,IF(OFFSET(G31,-1,0)="","ERR",OFFSET(G31,-1,0)),""))</f>
        <v/>
      </c>
      <c r="H31" s="11">
        <f>IF($K31=H$8,1+IF(OFFSET(H31,-1,0)="",0,OFFSET(H31,-1,0)),IF(H$8&lt;$K31,IF(OFFSET(H31,-1,0)="","ERR",OFFSET(H31,-1,0)),""))</f>
        <v/>
      </c>
      <c r="I31" s="11">
        <f>IF($K31=I$8,1+IF(OFFSET(I31,-1,0)="",0,OFFSET(I31,-1,0)),IF(I$8&lt;$K31,IF(OFFSET(I31,-1,0)="","ERR",OFFSET(I31,-1,0)),""))</f>
        <v/>
      </c>
      <c r="J31" s="49">
        <f>_xlfn.TEXTJOIN(".",1,B31:I31)</f>
        <v/>
      </c>
      <c r="K31" s="49" t="inlineStr">
        <is>
          <t>Л7</t>
        </is>
      </c>
      <c r="L31" s="49" t="n"/>
      <c r="M31" s="63" t="inlineStr">
        <is>
          <t>Извещатель пожарный дымовой опттко-электронный адресно-аналоговый без б/о, ИП 212-64R3, ООО ТК РУТЕК</t>
        </is>
      </c>
      <c r="N31" s="49" t="inlineStr">
        <is>
          <t>шт</t>
        </is>
      </c>
      <c r="O31" s="50">
        <f>P31+Q31+S31+V31</f>
        <v/>
      </c>
      <c r="P31" s="49" t="n">
        <v>12</v>
      </c>
      <c r="Q31" s="49" t="n"/>
      <c r="R31" s="49" t="n"/>
      <c r="S31" s="49" t="n"/>
      <c r="T31" s="49" t="n"/>
      <c r="U31" s="49" t="n"/>
      <c r="V31" s="49" t="n"/>
      <c r="W31" s="50" t="n">
        <v>1</v>
      </c>
      <c r="X31" s="26" t="n">
        <v>1659174829</v>
      </c>
      <c r="Y31" s="26" t="n">
        <v>165901001</v>
      </c>
      <c r="Z31" s="26" t="inlineStr">
        <is>
          <t xml:space="preserve"> "ТК "РУТЕК"</t>
        </is>
      </c>
      <c r="AA31" s="51" t="inlineStr">
        <is>
          <t>ГТ</t>
        </is>
      </c>
      <c r="AB31" s="188" t="n"/>
      <c r="AC31" s="189" t="n"/>
      <c r="AD31" s="190">
        <f>SUM(AB31:AC31)</f>
        <v/>
      </c>
      <c r="AE31" s="190">
        <f>AB31*$O31*$W31</f>
        <v/>
      </c>
      <c r="AF31" s="190">
        <f>AC31*$O31*$W31</f>
        <v/>
      </c>
      <c r="AG31" s="190">
        <f>SUM(AE31:AF31)</f>
        <v/>
      </c>
      <c r="AH31" s="182" t="n"/>
    </row>
    <row r="32" outlineLevel="1">
      <c r="A32" s="18" t="inlineStr">
        <is>
          <t>О</t>
        </is>
      </c>
      <c r="B32" s="11">
        <f>IF($K32=B$8,1+IF(OFFSET(B32,-1,0)="",0,OFFSET(B32,-1,0)),IF(B$8&lt;$K32,IF(OFFSET(B32,-1,0)="","ERR",OFFSET(B32,-1,0)),""))</f>
        <v/>
      </c>
      <c r="C32" s="11">
        <f>IF($K32=C$8,1+IF(OFFSET(C32,-1,0)="",0,OFFSET(C32,-1,0)),IF(C$8&lt;$K32,IF(OFFSET(C32,-1,0)="","ERR",OFFSET(C32,-1,0)),""))</f>
        <v/>
      </c>
      <c r="D32" s="11">
        <f>IF($K32=D$8,1+IF(OFFSET(D32,-1,0)="",0,OFFSET(D32,-1,0)),IF(D$8&lt;$K32,IF(OFFSET(D32,-1,0)="","ERR",OFFSET(D32,-1,0)),""))</f>
        <v/>
      </c>
      <c r="E32" s="11">
        <f>IF($K32=E$8,1+IF(OFFSET(E32,-1,0)="",0,OFFSET(E32,-1,0)),IF(E$8&lt;$K32,IF(OFFSET(E32,-1,0)="","ERR",OFFSET(E32,-1,0)),""))</f>
        <v/>
      </c>
      <c r="F32" s="11">
        <f>IF($K32=F$8,1+IF(OFFSET(F32,-1,0)="",0,OFFSET(F32,-1,0)),IF(F$8&lt;$K32,IF(OFFSET(F32,-1,0)="","ERR",OFFSET(F32,-1,0)),""))</f>
        <v/>
      </c>
      <c r="G32" s="11">
        <f>IF($K32=G$8,1+IF(OFFSET(G32,-1,0)="",0,OFFSET(G32,-1,0)),IF(G$8&lt;$K32,IF(OFFSET(G32,-1,0)="","ERR",OFFSET(G32,-1,0)),""))</f>
        <v/>
      </c>
      <c r="H32" s="11">
        <f>IF($K32=H$8,1+IF(OFFSET(H32,-1,0)="",0,OFFSET(H32,-1,0)),IF(H$8&lt;$K32,IF(OFFSET(H32,-1,0)="","ERR",OFFSET(H32,-1,0)),""))</f>
        <v/>
      </c>
      <c r="I32" s="11">
        <f>IF($K32=I$8,1+IF(OFFSET(I32,-1,0)="",0,OFFSET(I32,-1,0)),IF(I$8&lt;$K32,IF(OFFSET(I32,-1,0)="","ERR",OFFSET(I32,-1,0)),""))</f>
        <v/>
      </c>
      <c r="J32" s="49">
        <f>_xlfn.TEXTJOIN(".",1,B32:I32)</f>
        <v/>
      </c>
      <c r="K32" s="49" t="inlineStr">
        <is>
          <t>Л7</t>
        </is>
      </c>
      <c r="L32" s="49" t="n"/>
      <c r="M32" s="63" t="inlineStr">
        <is>
          <t>Базовое основание, W2.03, ООО ТК РУТЕК</t>
        </is>
      </c>
      <c r="N32" s="49" t="inlineStr">
        <is>
          <t>шт</t>
        </is>
      </c>
      <c r="O32" s="50">
        <f>P32+Q32+S32+V32</f>
        <v/>
      </c>
      <c r="P32" s="49" t="n">
        <v>12</v>
      </c>
      <c r="Q32" s="49" t="n"/>
      <c r="R32" s="49" t="n"/>
      <c r="S32" s="49" t="n"/>
      <c r="T32" s="49" t="n"/>
      <c r="U32" s="49" t="n"/>
      <c r="V32" s="49" t="n"/>
      <c r="W32" s="50" t="n">
        <v>1</v>
      </c>
      <c r="X32" s="26" t="n">
        <v>1659174829</v>
      </c>
      <c r="Y32" s="26" t="n">
        <v>165901001</v>
      </c>
      <c r="Z32" s="26" t="inlineStr">
        <is>
          <t xml:space="preserve"> "ТК "РУТЕК"</t>
        </is>
      </c>
      <c r="AA32" s="51" t="inlineStr">
        <is>
          <t>ГТ</t>
        </is>
      </c>
      <c r="AB32" s="188" t="n"/>
      <c r="AC32" s="189" t="n"/>
      <c r="AD32" s="190">
        <f>SUM(AB32:AC32)</f>
        <v/>
      </c>
      <c r="AE32" s="190">
        <f>AB32*$O32*$W32</f>
        <v/>
      </c>
      <c r="AF32" s="190">
        <f>AC32*$O32*$W32</f>
        <v/>
      </c>
      <c r="AG32" s="190">
        <f>SUM(AE32:AF32)</f>
        <v/>
      </c>
      <c r="AH32" s="182" t="n"/>
    </row>
    <row r="33" outlineLevel="1" ht="25.5" customHeight="1">
      <c r="A33" s="18" t="inlineStr">
        <is>
          <t>О</t>
        </is>
      </c>
      <c r="B33" s="11">
        <f>IF($K33=B$8,1+IF(OFFSET(B33,-1,0)="",0,OFFSET(B33,-1,0)),IF(B$8&lt;$K33,IF(OFFSET(B33,-1,0)="","ERR",OFFSET(B33,-1,0)),""))</f>
        <v/>
      </c>
      <c r="C33" s="11">
        <f>IF($K33=C$8,1+IF(OFFSET(C33,-1,0)="",0,OFFSET(C33,-1,0)),IF(C$8&lt;$K33,IF(OFFSET(C33,-1,0)="","ERR",OFFSET(C33,-1,0)),""))</f>
        <v/>
      </c>
      <c r="D33" s="11">
        <f>IF($K33=D$8,1+IF(OFFSET(D33,-1,0)="",0,OFFSET(D33,-1,0)),IF(D$8&lt;$K33,IF(OFFSET(D33,-1,0)="","ERR",OFFSET(D33,-1,0)),""))</f>
        <v/>
      </c>
      <c r="E33" s="11">
        <f>IF($K33=E$8,1+IF(OFFSET(E33,-1,0)="",0,OFFSET(E33,-1,0)),IF(E$8&lt;$K33,IF(OFFSET(E33,-1,0)="","ERR",OFFSET(E33,-1,0)),""))</f>
        <v/>
      </c>
      <c r="F33" s="11">
        <f>IF($K33=F$8,1+IF(OFFSET(F33,-1,0)="",0,OFFSET(F33,-1,0)),IF(F$8&lt;$K33,IF(OFFSET(F33,-1,0)="","ERR",OFFSET(F33,-1,0)),""))</f>
        <v/>
      </c>
      <c r="G33" s="11">
        <f>IF($K33=G$8,1+IF(OFFSET(G33,-1,0)="",0,OFFSET(G33,-1,0)),IF(G$8&lt;$K33,IF(OFFSET(G33,-1,0)="","ERR",OFFSET(G33,-1,0)),""))</f>
        <v/>
      </c>
      <c r="H33" s="11">
        <f>IF($K33=H$8,1+IF(OFFSET(H33,-1,0)="",0,OFFSET(H33,-1,0)),IF(H$8&lt;$K33,IF(OFFSET(H33,-1,0)="","ERR",OFFSET(H33,-1,0)),""))</f>
        <v/>
      </c>
      <c r="I33" s="11">
        <f>IF($K33=I$8,1+IF(OFFSET(I33,-1,0)="",0,OFFSET(I33,-1,0)),IF(I$8&lt;$K33,IF(OFFSET(I33,-1,0)="","ERR",OFFSET(I33,-1,0)),""))</f>
        <v/>
      </c>
      <c r="J33" s="49">
        <f>_xlfn.TEXTJOIN(".",1,B33:I33)</f>
        <v/>
      </c>
      <c r="K33" s="49" t="inlineStr">
        <is>
          <t>Л7</t>
        </is>
      </c>
      <c r="L33" s="49" t="n"/>
      <c r="M33" s="63" t="inlineStr">
        <is>
          <t>Извещатель пожарный ручной адресный с встроенным изолятором шлейфа, ИПР 513-11ИКЗ-А-R3, ООО ТК РУТЕК</t>
        </is>
      </c>
      <c r="N33" s="49" t="inlineStr">
        <is>
          <t>шт</t>
        </is>
      </c>
      <c r="O33" s="50">
        <f>P33+Q33+S33+V33</f>
        <v/>
      </c>
      <c r="P33" s="49" t="n">
        <v>108</v>
      </c>
      <c r="Q33" s="49" t="n"/>
      <c r="R33" s="49" t="n"/>
      <c r="S33" s="49" t="n"/>
      <c r="T33" s="49" t="n"/>
      <c r="U33" s="49" t="n"/>
      <c r="V33" s="49" t="n"/>
      <c r="W33" s="50" t="n">
        <v>1</v>
      </c>
      <c r="X33" s="26" t="n">
        <v>1659174829</v>
      </c>
      <c r="Y33" s="26" t="n">
        <v>165901001</v>
      </c>
      <c r="Z33" s="26" t="inlineStr">
        <is>
          <t xml:space="preserve"> "ТК "РУТЕК"</t>
        </is>
      </c>
      <c r="AA33" s="51" t="inlineStr">
        <is>
          <t>ГТ</t>
        </is>
      </c>
      <c r="AB33" s="188" t="n"/>
      <c r="AC33" s="189" t="n"/>
      <c r="AD33" s="190">
        <f>SUM(AB33:AC33)</f>
        <v/>
      </c>
      <c r="AE33" s="190">
        <f>AB33*$O33*$W33</f>
        <v/>
      </c>
      <c r="AF33" s="190">
        <f>AC33*$O33*$W33</f>
        <v/>
      </c>
      <c r="AG33" s="190">
        <f>SUM(AE33:AF33)</f>
        <v/>
      </c>
      <c r="AH33" s="182" t="n"/>
    </row>
    <row r="34" outlineLevel="1">
      <c r="A34" s="18" t="inlineStr">
        <is>
          <t>О</t>
        </is>
      </c>
      <c r="B34" s="11">
        <f>IF($K34=B$8,1+IF(OFFSET(B34,-1,0)="",0,OFFSET(B34,-1,0)),IF(B$8&lt;$K34,IF(OFFSET(B34,-1,0)="","ERR",OFFSET(B34,-1,0)),""))</f>
        <v/>
      </c>
      <c r="C34" s="11">
        <f>IF($K34=C$8,1+IF(OFFSET(C34,-1,0)="",0,OFFSET(C34,-1,0)),IF(C$8&lt;$K34,IF(OFFSET(C34,-1,0)="","ERR",OFFSET(C34,-1,0)),""))</f>
        <v/>
      </c>
      <c r="D34" s="11">
        <f>IF($K34=D$8,1+IF(OFFSET(D34,-1,0)="",0,OFFSET(D34,-1,0)),IF(D$8&lt;$K34,IF(OFFSET(D34,-1,0)="","ERR",OFFSET(D34,-1,0)),""))</f>
        <v/>
      </c>
      <c r="E34" s="11">
        <f>IF($K34=E$8,1+IF(OFFSET(E34,-1,0)="",0,OFFSET(E34,-1,0)),IF(E$8&lt;$K34,IF(OFFSET(E34,-1,0)="","ERR",OFFSET(E34,-1,0)),""))</f>
        <v/>
      </c>
      <c r="F34" s="11">
        <f>IF($K34=F$8,1+IF(OFFSET(F34,-1,0)="",0,OFFSET(F34,-1,0)),IF(F$8&lt;$K34,IF(OFFSET(F34,-1,0)="","ERR",OFFSET(F34,-1,0)),""))</f>
        <v/>
      </c>
      <c r="G34" s="11">
        <f>IF($K34=G$8,1+IF(OFFSET(G34,-1,0)="",0,OFFSET(G34,-1,0)),IF(G$8&lt;$K34,IF(OFFSET(G34,-1,0)="","ERR",OFFSET(G34,-1,0)),""))</f>
        <v/>
      </c>
      <c r="H34" s="11">
        <f>IF($K34=H$8,1+IF(OFFSET(H34,-1,0)="",0,OFFSET(H34,-1,0)),IF(H$8&lt;$K34,IF(OFFSET(H34,-1,0)="","ERR",OFFSET(H34,-1,0)),""))</f>
        <v/>
      </c>
      <c r="I34" s="11">
        <f>IF($K34=I$8,1+IF(OFFSET(I34,-1,0)="",0,OFFSET(I34,-1,0)),IF(I$8&lt;$K34,IF(OFFSET(I34,-1,0)="","ERR",OFFSET(I34,-1,0)),""))</f>
        <v/>
      </c>
      <c r="J34" s="46">
        <f>_xlfn.TEXTJOIN(".",1,B34:I34)</f>
        <v/>
      </c>
      <c r="K34" s="46" t="inlineStr">
        <is>
          <t>Л7</t>
        </is>
      </c>
      <c r="L34" s="46" t="n"/>
      <c r="M34" s="64" t="inlineStr">
        <is>
          <t>Сопутствующие и прочие материалы*</t>
        </is>
      </c>
      <c r="N34" s="46" t="inlineStr">
        <is>
          <t>шт</t>
        </is>
      </c>
      <c r="O34" s="94">
        <f>P34+Q34+S34+V34</f>
        <v/>
      </c>
      <c r="P34" s="46">
        <f>P30+P31+P33+P32</f>
        <v/>
      </c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8" t="n"/>
      <c r="AB34" s="179" t="n"/>
      <c r="AC34" s="189" t="n"/>
      <c r="AD34" s="189">
        <f>SUM(AB34:AC34)</f>
        <v/>
      </c>
      <c r="AE34" s="189">
        <f>AB34*$O34</f>
        <v/>
      </c>
      <c r="AF34" s="189">
        <f>AC34*$O34</f>
        <v/>
      </c>
      <c r="AG34" s="189">
        <f>SUM(AE34:AF34)</f>
        <v/>
      </c>
      <c r="AH34" s="182" t="n"/>
    </row>
    <row r="35" outlineLevel="1">
      <c r="A35" s="18" t="n"/>
      <c r="B35" s="11">
        <f>IF($K35=B$8,1+IF(OFFSET(B35,-1,0)="",0,OFFSET(B35,-1,0)),IF(B$8&lt;$K35,IF(OFFSET(B35,-1,0)="","ERR",OFFSET(B35,-1,0)),""))</f>
        <v/>
      </c>
      <c r="C35" s="11">
        <f>IF($K35=C$8,1+IF(OFFSET(C35,-1,0)="",0,OFFSET(C35,-1,0)),IF(C$8&lt;$K35,IF(OFFSET(C35,-1,0)="","ERR",OFFSET(C35,-1,0)),""))</f>
        <v/>
      </c>
      <c r="D35" s="11">
        <f>IF($K35=D$8,1+IF(OFFSET(D35,-1,0)="",0,OFFSET(D35,-1,0)),IF(D$8&lt;$K35,IF(OFFSET(D35,-1,0)="","ERR",OFFSET(D35,-1,0)),""))</f>
        <v/>
      </c>
      <c r="E35" s="11">
        <f>IF($K35=E$8,1+IF(OFFSET(E35,-1,0)="",0,OFFSET(E35,-1,0)),IF(E$8&lt;$K35,IF(OFFSET(E35,-1,0)="","ERR",OFFSET(E35,-1,0)),""))</f>
        <v/>
      </c>
      <c r="F35" s="11">
        <f>IF($K35=F$8,1+IF(OFFSET(F35,-1,0)="",0,OFFSET(F35,-1,0)),IF(F$8&lt;$K35,IF(OFFSET(F35,-1,0)="","ERR",OFFSET(F35,-1,0)),""))</f>
        <v/>
      </c>
      <c r="G35" s="11">
        <f>IF($K35=G$8,1+IF(OFFSET(G35,-1,0)="",0,OFFSET(G35,-1,0)),IF(G$8&lt;$K35,IF(OFFSET(G35,-1,0)="","ERR",OFFSET(G35,-1,0)),""))</f>
        <v/>
      </c>
      <c r="H35" s="11">
        <f>IF($K35=H$8,1+IF(OFFSET(H35,-1,0)="",0,OFFSET(H35,-1,0)),IF(H$8&lt;$K35,IF(OFFSET(H35,-1,0)="","ERR",OFFSET(H35,-1,0)),""))</f>
        <v/>
      </c>
      <c r="I35" s="11">
        <f>IF($K35=I$8,1+IF(OFFSET(I35,-1,0)="",0,OFFSET(I35,-1,0)),IF(I$8&lt;$K35,IF(OFFSET(I35,-1,0)="","ERR",OFFSET(I35,-1,0)),""))</f>
        <v/>
      </c>
      <c r="J35" s="43">
        <f>_xlfn.TEXTJOIN(".",1,B35:I35)</f>
        <v/>
      </c>
      <c r="K35" s="43" t="inlineStr">
        <is>
          <t>Л5</t>
        </is>
      </c>
      <c r="L35" s="43" t="inlineStr">
        <is>
          <t>3.3.3.4.3</t>
        </is>
      </c>
      <c r="M35" s="44" t="inlineStr">
        <is>
          <t>Кабельно-проводниковая продукция</t>
        </is>
      </c>
      <c r="N35" s="43" t="n"/>
      <c r="O35" s="9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5" t="n"/>
      <c r="AB35" s="185" t="n"/>
      <c r="AC35" s="186" t="n"/>
      <c r="AD35" s="186" t="n"/>
      <c r="AE35" s="186" t="n"/>
      <c r="AF35" s="186" t="n"/>
      <c r="AG35" s="186" t="n"/>
      <c r="AH35" s="178" t="n"/>
    </row>
    <row r="36" outlineLevel="1" ht="25.5" customHeight="1">
      <c r="A36" s="18" t="inlineStr">
        <is>
          <t>О</t>
        </is>
      </c>
      <c r="B36" s="11">
        <f>IF($K36=B$8,1+IF(OFFSET(B36,-1,0)="",0,OFFSET(B36,-1,0)),IF(B$8&lt;$K36,IF(OFFSET(B36,-1,0)="","ERR",OFFSET(B36,-1,0)),""))</f>
        <v/>
      </c>
      <c r="C36" s="11">
        <f>IF($K36=C$8,1+IF(OFFSET(C36,-1,0)="",0,OFFSET(C36,-1,0)),IF(C$8&lt;$K36,IF(OFFSET(C36,-1,0)="","ERR",OFFSET(C36,-1,0)),""))</f>
        <v/>
      </c>
      <c r="D36" s="11">
        <f>IF($K36=D$8,1+IF(OFFSET(D36,-1,0)="",0,OFFSET(D36,-1,0)),IF(D$8&lt;$K36,IF(OFFSET(D36,-1,0)="","ERR",OFFSET(D36,-1,0)),""))</f>
        <v/>
      </c>
      <c r="E36" s="11">
        <f>IF($K36=E$8,1+IF(OFFSET(E36,-1,0)="",0,OFFSET(E36,-1,0)),IF(E$8&lt;$K36,IF(OFFSET(E36,-1,0)="","ERR",OFFSET(E36,-1,0)),""))</f>
        <v/>
      </c>
      <c r="F36" s="11">
        <f>IF($K36=F$8,1+IF(OFFSET(F36,-1,0)="",0,OFFSET(F36,-1,0)),IF(F$8&lt;$K36,IF(OFFSET(F36,-1,0)="","ERR",OFFSET(F36,-1,0)),""))</f>
        <v/>
      </c>
      <c r="G36" s="11">
        <f>IF($K36=G$8,1+IF(OFFSET(G36,-1,0)="",0,OFFSET(G36,-1,0)),IF(G$8&lt;$K36,IF(OFFSET(G36,-1,0)="","ERR",OFFSET(G36,-1,0)),""))</f>
        <v/>
      </c>
      <c r="H36" s="11">
        <f>IF($K36=H$8,1+IF(OFFSET(H36,-1,0)="",0,OFFSET(H36,-1,0)),IF(H$8&lt;$K36,IF(OFFSET(H36,-1,0)="","ERR",OFFSET(H36,-1,0)),""))</f>
        <v/>
      </c>
      <c r="I36" s="11">
        <f>IF($K36=I$8,1+IF(OFFSET(I36,-1,0)="",0,OFFSET(I36,-1,0)),IF(I$8&lt;$K36,IF(OFFSET(I36,-1,0)="","ERR",OFFSET(I36,-1,0)),""))</f>
        <v/>
      </c>
      <c r="J36" s="46">
        <f>_xlfn.TEXTJOIN(".",1,B36:I36)</f>
        <v/>
      </c>
      <c r="K36" s="46" t="inlineStr">
        <is>
          <t>Л6</t>
        </is>
      </c>
      <c r="L36" s="46" t="inlineStr">
        <is>
          <t>3.3.3.4.3.1</t>
        </is>
      </c>
      <c r="M36" s="47" t="inlineStr">
        <is>
          <t>Прокладка кабеля/провода слаботочных систем и автоматики по конструкциям и в трубах здания: КПСнг(А)-FRHF 1х2х0,75 ТУ 42.22.12-134-47273194-2024</t>
        </is>
      </c>
      <c r="N36" s="46" t="inlineStr">
        <is>
          <t>пог. м</t>
        </is>
      </c>
      <c r="O36" s="94">
        <f>P36+Q36+S36+V36</f>
        <v/>
      </c>
      <c r="P36" s="46">
        <f>9275+90</f>
        <v/>
      </c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8" t="n"/>
      <c r="AB36" s="179" t="n"/>
      <c r="AC36" s="180" t="n">
        <v>90</v>
      </c>
      <c r="AD36" s="189">
        <f>SUM(AB36:AC36)</f>
        <v/>
      </c>
      <c r="AE36" s="189">
        <f>AB36*$O36</f>
        <v/>
      </c>
      <c r="AF36" s="189">
        <f>AC36*$O36</f>
        <v/>
      </c>
      <c r="AG36" s="189">
        <f>SUM(AE36:AF36)</f>
        <v/>
      </c>
      <c r="AH36" s="182" t="n"/>
    </row>
    <row r="37" outlineLevel="1" ht="25.5" customHeight="1">
      <c r="A37" s="18" t="inlineStr">
        <is>
          <t>О</t>
        </is>
      </c>
      <c r="B37" s="11">
        <f>IF($K37=B$8,1+IF(OFFSET(B37,-1,0)="",0,OFFSET(B37,-1,0)),IF(B$8&lt;$K37,IF(OFFSET(B37,-1,0)="","ERR",OFFSET(B37,-1,0)),""))</f>
        <v/>
      </c>
      <c r="C37" s="11">
        <f>IF($K37=C$8,1+IF(OFFSET(C37,-1,0)="",0,OFFSET(C37,-1,0)),IF(C$8&lt;$K37,IF(OFFSET(C37,-1,0)="","ERR",OFFSET(C37,-1,0)),""))</f>
        <v/>
      </c>
      <c r="D37" s="11">
        <f>IF($K37=D$8,1+IF(OFFSET(D37,-1,0)="",0,OFFSET(D37,-1,0)),IF(D$8&lt;$K37,IF(OFFSET(D37,-1,0)="","ERR",OFFSET(D37,-1,0)),""))</f>
        <v/>
      </c>
      <c r="E37" s="11">
        <f>IF($K37=E$8,1+IF(OFFSET(E37,-1,0)="",0,OFFSET(E37,-1,0)),IF(E$8&lt;$K37,IF(OFFSET(E37,-1,0)="","ERR",OFFSET(E37,-1,0)),""))</f>
        <v/>
      </c>
      <c r="F37" s="11">
        <f>IF($K37=F$8,1+IF(OFFSET(F37,-1,0)="",0,OFFSET(F37,-1,0)),IF(F$8&lt;$K37,IF(OFFSET(F37,-1,0)="","ERR",OFFSET(F37,-1,0)),""))</f>
        <v/>
      </c>
      <c r="G37" s="11">
        <f>IF($K37=G$8,1+IF(OFFSET(G37,-1,0)="",0,OFFSET(G37,-1,0)),IF(G$8&lt;$K37,IF(OFFSET(G37,-1,0)="","ERR",OFFSET(G37,-1,0)),""))</f>
        <v/>
      </c>
      <c r="H37" s="11">
        <f>IF($K37=H$8,1+IF(OFFSET(H37,-1,0)="",0,OFFSET(H37,-1,0)),IF(H$8&lt;$K37,IF(OFFSET(H37,-1,0)="","ERR",OFFSET(H37,-1,0)),""))</f>
        <v/>
      </c>
      <c r="I37" s="11">
        <f>IF($K37=I$8,1+IF(OFFSET(I37,-1,0)="",0,OFFSET(I37,-1,0)),IF(I$8&lt;$K37,IF(OFFSET(I37,-1,0)="","ERR",OFFSET(I37,-1,0)),""))</f>
        <v/>
      </c>
      <c r="J37" s="46">
        <f>_xlfn.TEXTJOIN(".",1,B37:I37)</f>
        <v/>
      </c>
      <c r="K37" s="46" t="inlineStr">
        <is>
          <t>Л6</t>
        </is>
      </c>
      <c r="L37" s="46" t="inlineStr">
        <is>
          <t>3.3.3.4.3.1</t>
        </is>
      </c>
      <c r="M37" s="47" t="inlineStr">
        <is>
          <t>Прокладка кабеля/провода слаботочных систем и автоматики по конструкциям и в трубах здания: СПЕЦЛАН UTP-5нг(А)- FRHF 2х2х0,52</t>
        </is>
      </c>
      <c r="N37" s="46" t="inlineStr">
        <is>
          <t>пог. м</t>
        </is>
      </c>
      <c r="O37" s="94">
        <f>P37+Q37+S37+V37</f>
        <v/>
      </c>
      <c r="P37" s="46" t="n">
        <v>1450</v>
      </c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8" t="n"/>
      <c r="AB37" s="179" t="n"/>
      <c r="AC37" s="180" t="n">
        <v>75</v>
      </c>
      <c r="AD37" s="189">
        <f>SUM(AB37:AC37)</f>
        <v/>
      </c>
      <c r="AE37" s="189">
        <f>AB37*$O37</f>
        <v/>
      </c>
      <c r="AF37" s="189">
        <f>AC37*$O37</f>
        <v/>
      </c>
      <c r="AG37" s="189">
        <f>SUM(AE37:AF37)</f>
        <v/>
      </c>
      <c r="AH37" s="182" t="n"/>
    </row>
    <row r="38">
      <c r="A38" s="18" t="n"/>
      <c r="B38" s="11">
        <f>IF($K38=B$8,1+IF(OFFSET(B38,-1,0)="",0,OFFSET(B38,-1,0)),IF(B$8&lt;$K38,IF(OFFSET(B38,-1,0)="","ERR",OFFSET(B38,-1,0)),""))</f>
        <v/>
      </c>
      <c r="C38" s="11">
        <f>IF($K38=C$8,1+IF(OFFSET(C38,-1,0)="",0,OFFSET(C38,-1,0)),IF(C$8&lt;$K38,IF(OFFSET(C38,-1,0)="","ERR",OFFSET(C38,-1,0)),""))</f>
        <v/>
      </c>
      <c r="D38" s="11">
        <f>IF($K38=D$8,1+IF(OFFSET(D38,-1,0)="",0,OFFSET(D38,-1,0)),IF(D$8&lt;$K38,IF(OFFSET(D38,-1,0)="","ERR",OFFSET(D38,-1,0)),""))</f>
        <v/>
      </c>
      <c r="E38" s="11">
        <f>IF($K38=E$8,1+IF(OFFSET(E38,-1,0)="",0,OFFSET(E38,-1,0)),IF(E$8&lt;$K38,IF(OFFSET(E38,-1,0)="","ERR",OFFSET(E38,-1,0)),""))</f>
        <v/>
      </c>
      <c r="F38" s="11">
        <f>IF($K38=F$8,1+IF(OFFSET(F38,-1,0)="",0,OFFSET(F38,-1,0)),IF(F$8&lt;$K38,IF(OFFSET(F38,-1,0)="","ERR",OFFSET(F38,-1,0)),""))</f>
        <v/>
      </c>
      <c r="G38" s="11">
        <f>IF($K38=G$8,1+IF(OFFSET(G38,-1,0)="",0,OFFSET(G38,-1,0)),IF(G$8&lt;$K38,IF(OFFSET(G38,-1,0)="","ERR",OFFSET(G38,-1,0)),""))</f>
        <v/>
      </c>
      <c r="H38" s="11">
        <f>IF($K38=H$8,1+IF(OFFSET(H38,-1,0)="",0,OFFSET(H38,-1,0)),IF(H$8&lt;$K38,IF(OFFSET(H38,-1,0)="","ERR",OFFSET(H38,-1,0)),""))</f>
        <v/>
      </c>
      <c r="I38" s="11">
        <f>IF($K38=I$8,1+IF(OFFSET(I38,-1,0)="",0,OFFSET(I38,-1,0)),IF(I$8&lt;$K38,IF(OFFSET(I38,-1,0)="","ERR",OFFSET(I38,-1,0)),""))</f>
        <v/>
      </c>
      <c r="J38" s="40">
        <f>_xlfn.TEXTJOIN(".",1,B38:I38)</f>
        <v/>
      </c>
      <c r="K38" s="40" t="inlineStr">
        <is>
          <t>Л4</t>
        </is>
      </c>
      <c r="L38" s="40" t="inlineStr">
        <is>
          <t>3.3.3.5</t>
        </is>
      </c>
      <c r="M38" s="41" t="inlineStr">
        <is>
          <t>АСУД: Система автоматизированного управления и диспетчеризации</t>
        </is>
      </c>
      <c r="N38" s="40" t="n"/>
      <c r="O38" s="92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2" t="inlineStr">
        <is>
          <t>ПТ-082022-23-Р-СОУЭ0</t>
        </is>
      </c>
      <c r="AB38" s="183" t="n"/>
      <c r="AC38" s="184" t="n"/>
      <c r="AD38" s="184" t="n"/>
      <c r="AE38" s="184" t="n"/>
      <c r="AF38" s="184" t="n"/>
      <c r="AG38" s="184" t="n"/>
      <c r="AH38" s="175" t="n"/>
    </row>
    <row r="39" outlineLevel="1">
      <c r="A39" s="18" t="n"/>
      <c r="B39" s="11">
        <f>IF($K39=B$8,1+IF(OFFSET(B39,-1,0)="",0,OFFSET(B39,-1,0)),IF(B$8&lt;$K39,IF(OFFSET(B39,-1,0)="","ERR",OFFSET(B39,-1,0)),""))</f>
        <v/>
      </c>
      <c r="C39" s="11">
        <f>IF($K39=C$8,1+IF(OFFSET(C39,-1,0)="",0,OFFSET(C39,-1,0)),IF(C$8&lt;$K39,IF(OFFSET(C39,-1,0)="","ERR",OFFSET(C39,-1,0)),""))</f>
        <v/>
      </c>
      <c r="D39" s="11">
        <f>IF($K39=D$8,1+IF(OFFSET(D39,-1,0)="",0,OFFSET(D39,-1,0)),IF(D$8&lt;$K39,IF(OFFSET(D39,-1,0)="","ERR",OFFSET(D39,-1,0)),""))</f>
        <v/>
      </c>
      <c r="E39" s="11">
        <f>IF($K39=E$8,1+IF(OFFSET(E39,-1,0)="",0,OFFSET(E39,-1,0)),IF(E$8&lt;$K39,IF(OFFSET(E39,-1,0)="","ERR",OFFSET(E39,-1,0)),""))</f>
        <v/>
      </c>
      <c r="F39" s="11">
        <f>IF($K39=F$8,1+IF(OFFSET(F39,-1,0)="",0,OFFSET(F39,-1,0)),IF(F$8&lt;$K39,IF(OFFSET(F39,-1,0)="","ERR",OFFSET(F39,-1,0)),""))</f>
        <v/>
      </c>
      <c r="G39" s="11">
        <f>IF($K39=G$8,1+IF(OFFSET(G39,-1,0)="",0,OFFSET(G39,-1,0)),IF(G$8&lt;$K39,IF(OFFSET(G39,-1,0)="","ERR",OFFSET(G39,-1,0)),""))</f>
        <v/>
      </c>
      <c r="H39" s="11">
        <f>IF($K39=H$8,1+IF(OFFSET(H39,-1,0)="",0,OFFSET(H39,-1,0)),IF(H$8&lt;$K39,IF(OFFSET(H39,-1,0)="","ERR",OFFSET(H39,-1,0)),""))</f>
        <v/>
      </c>
      <c r="I39" s="11">
        <f>IF($K39=I$8,1+IF(OFFSET(I39,-1,0)="",0,OFFSET(I39,-1,0)),IF(I$8&lt;$K39,IF(OFFSET(I39,-1,0)="","ERR",OFFSET(I39,-1,0)),""))</f>
        <v/>
      </c>
      <c r="J39" s="43">
        <f>_xlfn.TEXTJOIN(".",1,B39:I39)</f>
        <v/>
      </c>
      <c r="K39" s="43" t="inlineStr">
        <is>
          <t>Л5</t>
        </is>
      </c>
      <c r="L39" s="43" t="inlineStr">
        <is>
          <t>3.3.3.5.2</t>
        </is>
      </c>
      <c r="M39" s="44" t="inlineStr">
        <is>
          <t>Оборудование и приборы</t>
        </is>
      </c>
      <c r="N39" s="43" t="n"/>
      <c r="O39" s="9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5" t="n"/>
      <c r="AB39" s="185" t="n"/>
      <c r="AC39" s="186" t="n"/>
      <c r="AD39" s="186" t="n"/>
      <c r="AE39" s="186" t="n"/>
      <c r="AF39" s="186" t="n"/>
      <c r="AG39" s="186" t="n"/>
      <c r="AH39" s="178" t="n"/>
    </row>
    <row r="40" outlineLevel="1">
      <c r="A40" s="18" t="inlineStr">
        <is>
          <t>О</t>
        </is>
      </c>
      <c r="B40" s="11">
        <f>IF($K40=B$8,1+IF(OFFSET(B40,-1,0)="",0,OFFSET(B40,-1,0)),IF(B$8&lt;$K40,IF(OFFSET(B40,-1,0)="","ERR",OFFSET(B40,-1,0)),""))</f>
        <v/>
      </c>
      <c r="C40" s="11">
        <f>IF($K40=C$8,1+IF(OFFSET(C40,-1,0)="",0,OFFSET(C40,-1,0)),IF(C$8&lt;$K40,IF(OFFSET(C40,-1,0)="","ERR",OFFSET(C40,-1,0)),""))</f>
        <v/>
      </c>
      <c r="D40" s="11">
        <f>IF($K40=D$8,1+IF(OFFSET(D40,-1,0)="",0,OFFSET(D40,-1,0)),IF(D$8&lt;$K40,IF(OFFSET(D40,-1,0)="","ERR",OFFSET(D40,-1,0)),""))</f>
        <v/>
      </c>
      <c r="E40" s="11">
        <f>IF($K40=E$8,1+IF(OFFSET(E40,-1,0)="",0,OFFSET(E40,-1,0)),IF(E$8&lt;$K40,IF(OFFSET(E40,-1,0)="","ERR",OFFSET(E40,-1,0)),""))</f>
        <v/>
      </c>
      <c r="F40" s="11">
        <f>IF($K40=F$8,1+IF(OFFSET(F40,-1,0)="",0,OFFSET(F40,-1,0)),IF(F$8&lt;$K40,IF(OFFSET(F40,-1,0)="","ERR",OFFSET(F40,-1,0)),""))</f>
        <v/>
      </c>
      <c r="G40" s="11">
        <f>IF($K40=G$8,1+IF(OFFSET(G40,-1,0)="",0,OFFSET(G40,-1,0)),IF(G$8&lt;$K40,IF(OFFSET(G40,-1,0)="","ERR",OFFSET(G40,-1,0)),""))</f>
        <v/>
      </c>
      <c r="H40" s="11">
        <f>IF($K40=H$8,1+IF(OFFSET(H40,-1,0)="",0,OFFSET(H40,-1,0)),IF(H$8&lt;$K40,IF(OFFSET(H40,-1,0)="","ERR",OFFSET(H40,-1,0)),""))</f>
        <v/>
      </c>
      <c r="I40" s="11">
        <f>IF($K40=I$8,1+IF(OFFSET(I40,-1,0)="",0,OFFSET(I40,-1,0)),IF(I$8&lt;$K40,IF(OFFSET(I40,-1,0)="","ERR",OFFSET(I40,-1,0)),""))</f>
        <v/>
      </c>
      <c r="J40" s="46">
        <f>_xlfn.TEXTJOIN(".",1,B40:I40)</f>
        <v/>
      </c>
      <c r="K40" s="46" t="inlineStr">
        <is>
          <t>Л6</t>
        </is>
      </c>
      <c r="L40" s="46" t="inlineStr">
        <is>
          <t>3.3.3.5.2.3</t>
        </is>
      </c>
      <c r="M40" s="47" t="inlineStr">
        <is>
          <t>Монтаж переговорного устройства связи накладного: Вызывная панель, АПУ-2ВП, "ЛКДС"</t>
        </is>
      </c>
      <c r="N40" s="46" t="inlineStr">
        <is>
          <t>шт</t>
        </is>
      </c>
      <c r="O40" s="94">
        <f>P40+Q40+S40+V40</f>
        <v/>
      </c>
      <c r="P40" s="46" t="n"/>
      <c r="Q40" s="46" t="n">
        <v>8</v>
      </c>
      <c r="R40" s="46" t="n">
        <v>8</v>
      </c>
      <c r="S40" s="46" t="n">
        <v>6</v>
      </c>
      <c r="T40" s="46" t="n">
        <v>6</v>
      </c>
      <c r="U40" s="46" t="n">
        <v>17</v>
      </c>
      <c r="V40" s="46" t="n">
        <v>17</v>
      </c>
      <c r="W40" s="46" t="n"/>
      <c r="X40" s="46" t="n"/>
      <c r="Y40" s="46" t="n"/>
      <c r="Z40" s="46" t="n"/>
      <c r="AA40" s="48" t="n"/>
      <c r="AB40" s="179" t="n"/>
      <c r="AC40" s="180" t="n"/>
      <c r="AD40" s="189">
        <f>SUM(AB40:AC40)</f>
        <v/>
      </c>
      <c r="AE40" s="189">
        <f>AB40*$O40</f>
        <v/>
      </c>
      <c r="AF40" s="189">
        <f>AC40*$O40</f>
        <v/>
      </c>
      <c r="AG40" s="189">
        <f>SUM(AE40:AF40)</f>
        <v/>
      </c>
      <c r="AH40" s="182" t="n"/>
    </row>
    <row r="41" outlineLevel="1">
      <c r="A41" s="18" t="inlineStr">
        <is>
          <t>О</t>
        </is>
      </c>
      <c r="B41" s="11">
        <f>IF($K41=B$8,1+IF(OFFSET(B41,-1,0)="",0,OFFSET(B41,-1,0)),IF(B$8&lt;$K41,IF(OFFSET(B41,-1,0)="","ERR",OFFSET(B41,-1,0)),""))</f>
        <v/>
      </c>
      <c r="C41" s="11">
        <f>IF($K41=C$8,1+IF(OFFSET(C41,-1,0)="",0,OFFSET(C41,-1,0)),IF(C$8&lt;$K41,IF(OFFSET(C41,-1,0)="","ERR",OFFSET(C41,-1,0)),""))</f>
        <v/>
      </c>
      <c r="D41" s="11">
        <f>IF($K41=D$8,1+IF(OFFSET(D41,-1,0)="",0,OFFSET(D41,-1,0)),IF(D$8&lt;$K41,IF(OFFSET(D41,-1,0)="","ERR",OFFSET(D41,-1,0)),""))</f>
        <v/>
      </c>
      <c r="E41" s="11">
        <f>IF($K41=E$8,1+IF(OFFSET(E41,-1,0)="",0,OFFSET(E41,-1,0)),IF(E$8&lt;$K41,IF(OFFSET(E41,-1,0)="","ERR",OFFSET(E41,-1,0)),""))</f>
        <v/>
      </c>
      <c r="F41" s="11">
        <f>IF($K41=F$8,1+IF(OFFSET(F41,-1,0)="",0,OFFSET(F41,-1,0)),IF(F$8&lt;$K41,IF(OFFSET(F41,-1,0)="","ERR",OFFSET(F41,-1,0)),""))</f>
        <v/>
      </c>
      <c r="G41" s="11">
        <f>IF($K41=G$8,1+IF(OFFSET(G41,-1,0)="",0,OFFSET(G41,-1,0)),IF(G$8&lt;$K41,IF(OFFSET(G41,-1,0)="","ERR",OFFSET(G41,-1,0)),""))</f>
        <v/>
      </c>
      <c r="H41" s="11">
        <f>IF($K41=H$8,1+IF(OFFSET(H41,-1,0)="",0,OFFSET(H41,-1,0)),IF(H$8&lt;$K41,IF(OFFSET(H41,-1,0)="","ERR",OFFSET(H41,-1,0)),""))</f>
        <v/>
      </c>
      <c r="I41" s="11">
        <f>IF($K41=I$8,1+IF(OFFSET(I41,-1,0)="",0,OFFSET(I41,-1,0)),IF(I$8&lt;$K41,IF(OFFSET(I41,-1,0)="","ERR",OFFSET(I41,-1,0)),""))</f>
        <v/>
      </c>
      <c r="J41" s="46">
        <f>_xlfn.TEXTJOIN(".",1,B41:I41)</f>
        <v/>
      </c>
      <c r="K41" s="46" t="inlineStr">
        <is>
          <t>Л6</t>
        </is>
      </c>
      <c r="L41" s="46" t="inlineStr">
        <is>
          <t>3.3.3.5.2.8</t>
        </is>
      </c>
      <c r="M41" s="47" t="inlineStr">
        <is>
          <t>Монтаж ретранслятора шины: Ретранслятор шины CAN П, Ретранслятор шины CAN П, «Delta»</t>
        </is>
      </c>
      <c r="N41" s="46" t="inlineStr">
        <is>
          <t>шт</t>
        </is>
      </c>
      <c r="O41" s="94">
        <f>P41+Q41+S41+V41</f>
        <v/>
      </c>
      <c r="P41" s="46" t="n"/>
      <c r="Q41" s="46" t="n"/>
      <c r="R41" s="46" t="n"/>
      <c r="S41" s="46" t="n">
        <v>2</v>
      </c>
      <c r="T41" s="46" t="n">
        <v>2</v>
      </c>
      <c r="U41" s="46" t="n">
        <v>4</v>
      </c>
      <c r="V41" s="46" t="n">
        <v>4</v>
      </c>
      <c r="W41" s="46" t="n"/>
      <c r="X41" s="46" t="n"/>
      <c r="Y41" s="46" t="n"/>
      <c r="Z41" s="46" t="n"/>
      <c r="AA41" s="48" t="n"/>
      <c r="AB41" s="179" t="n"/>
      <c r="AC41" s="180" t="n"/>
      <c r="AD41" s="189">
        <f>SUM(AB41:AC41)</f>
        <v/>
      </c>
      <c r="AE41" s="189">
        <f>AB41*$O41</f>
        <v/>
      </c>
      <c r="AF41" s="189">
        <f>AC41*$O41</f>
        <v/>
      </c>
      <c r="AG41" s="189">
        <f>SUM(AE41:AF41)</f>
        <v/>
      </c>
      <c r="AH41" s="182" t="n"/>
    </row>
    <row r="42" outlineLevel="1">
      <c r="A42" s="18" t="inlineStr">
        <is>
          <t>О</t>
        </is>
      </c>
      <c r="B42" s="11">
        <f>IF($K42=B$8,1+IF(OFFSET(B42,-1,0)="",0,OFFSET(B42,-1,0)),IF(B$8&lt;$K42,IF(OFFSET(B42,-1,0)="","ERR",OFFSET(B42,-1,0)),""))</f>
        <v/>
      </c>
      <c r="C42" s="11">
        <f>IF($K42=C$8,1+IF(OFFSET(C42,-1,0)="",0,OFFSET(C42,-1,0)),IF(C$8&lt;$K42,IF(OFFSET(C42,-1,0)="","ERR",OFFSET(C42,-1,0)),""))</f>
        <v/>
      </c>
      <c r="D42" s="11">
        <f>IF($K42=D$8,1+IF(OFFSET(D42,-1,0)="",0,OFFSET(D42,-1,0)),IF(D$8&lt;$K42,IF(OFFSET(D42,-1,0)="","ERR",OFFSET(D42,-1,0)),""))</f>
        <v/>
      </c>
      <c r="E42" s="11">
        <f>IF($K42=E$8,1+IF(OFFSET(E42,-1,0)="",0,OFFSET(E42,-1,0)),IF(E$8&lt;$K42,IF(OFFSET(E42,-1,0)="","ERR",OFFSET(E42,-1,0)),""))</f>
        <v/>
      </c>
      <c r="F42" s="11">
        <f>IF($K42=F$8,1+IF(OFFSET(F42,-1,0)="",0,OFFSET(F42,-1,0)),IF(F$8&lt;$K42,IF(OFFSET(F42,-1,0)="","ERR",OFFSET(F42,-1,0)),""))</f>
        <v/>
      </c>
      <c r="G42" s="11">
        <f>IF($K42=G$8,1+IF(OFFSET(G42,-1,0)="",0,OFFSET(G42,-1,0)),IF(G$8&lt;$K42,IF(OFFSET(G42,-1,0)="","ERR",OFFSET(G42,-1,0)),""))</f>
        <v/>
      </c>
      <c r="H42" s="11">
        <f>IF($K42=H$8,1+IF(OFFSET(H42,-1,0)="",0,OFFSET(H42,-1,0)),IF(H$8&lt;$K42,IF(OFFSET(H42,-1,0)="","ERR",OFFSET(H42,-1,0)),""))</f>
        <v/>
      </c>
      <c r="I42" s="11">
        <f>IF($K42=I$8,1+IF(OFFSET(I42,-1,0)="",0,OFFSET(I42,-1,0)),IF(I$8&lt;$K42,IF(OFFSET(I42,-1,0)="","ERR",OFFSET(I42,-1,0)),""))</f>
        <v/>
      </c>
      <c r="J42" s="46">
        <f>_xlfn.TEXTJOIN(".",1,B42:I42)</f>
        <v/>
      </c>
      <c r="K42" s="46" t="inlineStr">
        <is>
          <t>Л6</t>
        </is>
      </c>
      <c r="L42" s="46" t="inlineStr">
        <is>
          <t>3.3.3.5.2.12</t>
        </is>
      </c>
      <c r="M42" s="47" t="inlineStr">
        <is>
          <t>Монтаж источника питания: Резервный источник питания 24, РИП 24, "ЛКДС"</t>
        </is>
      </c>
      <c r="N42" s="46" t="inlineStr">
        <is>
          <t>шт</t>
        </is>
      </c>
      <c r="O42" s="94">
        <f>P42+Q42+S42+V42</f>
        <v/>
      </c>
      <c r="P42" s="46" t="n"/>
      <c r="Q42" s="46" t="n"/>
      <c r="R42" s="46" t="n"/>
      <c r="S42" s="46" t="n">
        <v>2</v>
      </c>
      <c r="T42" s="46" t="n">
        <v>2</v>
      </c>
      <c r="U42" s="46" t="n">
        <v>4</v>
      </c>
      <c r="V42" s="46" t="n">
        <v>4</v>
      </c>
      <c r="W42" s="46" t="n"/>
      <c r="X42" s="46" t="n"/>
      <c r="Y42" s="46" t="n"/>
      <c r="Z42" s="46" t="n"/>
      <c r="AA42" s="48" t="n"/>
      <c r="AB42" s="179" t="n"/>
      <c r="AC42" s="180" t="n"/>
      <c r="AD42" s="189">
        <f>SUM(AB42:AC42)</f>
        <v/>
      </c>
      <c r="AE42" s="189">
        <f>AB42*$O42</f>
        <v/>
      </c>
      <c r="AF42" s="189">
        <f>AC42*$O42</f>
        <v/>
      </c>
      <c r="AG42" s="189">
        <f>SUM(AE42:AF42)</f>
        <v/>
      </c>
      <c r="AH42" s="182" t="n"/>
    </row>
    <row r="43" outlineLevel="1">
      <c r="A43" s="18" t="inlineStr">
        <is>
          <t>О</t>
        </is>
      </c>
      <c r="B43" s="11">
        <f>IF($K43=B$8,1+IF(OFFSET(B43,-1,0)="",0,OFFSET(B43,-1,0)),IF(B$8&lt;$K43,IF(OFFSET(B43,-1,0)="","ERR",OFFSET(B43,-1,0)),""))</f>
        <v/>
      </c>
      <c r="C43" s="11">
        <f>IF($K43=C$8,1+IF(OFFSET(C43,-1,0)="",0,OFFSET(C43,-1,0)),IF(C$8&lt;$K43,IF(OFFSET(C43,-1,0)="","ERR",OFFSET(C43,-1,0)),""))</f>
        <v/>
      </c>
      <c r="D43" s="11">
        <f>IF($K43=D$8,1+IF(OFFSET(D43,-1,0)="",0,OFFSET(D43,-1,0)),IF(D$8&lt;$K43,IF(OFFSET(D43,-1,0)="","ERR",OFFSET(D43,-1,0)),""))</f>
        <v/>
      </c>
      <c r="E43" s="11">
        <f>IF($K43=E$8,1+IF(OFFSET(E43,-1,0)="",0,OFFSET(E43,-1,0)),IF(E$8&lt;$K43,IF(OFFSET(E43,-1,0)="","ERR",OFFSET(E43,-1,0)),""))</f>
        <v/>
      </c>
      <c r="F43" s="11">
        <f>IF($K43=F$8,1+IF(OFFSET(F43,-1,0)="",0,OFFSET(F43,-1,0)),IF(F$8&lt;$K43,IF(OFFSET(F43,-1,0)="","ERR",OFFSET(F43,-1,0)),""))</f>
        <v/>
      </c>
      <c r="G43" s="11">
        <f>IF($K43=G$8,1+IF(OFFSET(G43,-1,0)="",0,OFFSET(G43,-1,0)),IF(G$8&lt;$K43,IF(OFFSET(G43,-1,0)="","ERR",OFFSET(G43,-1,0)),""))</f>
        <v/>
      </c>
      <c r="H43" s="11">
        <f>IF($K43=H$8,1+IF(OFFSET(H43,-1,0)="",0,OFFSET(H43,-1,0)),IF(H$8&lt;$K43,IF(OFFSET(H43,-1,0)="","ERR",OFFSET(H43,-1,0)),""))</f>
        <v/>
      </c>
      <c r="I43" s="11">
        <f>IF($K43=I$8,1+IF(OFFSET(I43,-1,0)="",0,OFFSET(I43,-1,0)),IF(I$8&lt;$K43,IF(OFFSET(I43,-1,0)="","ERR",OFFSET(I43,-1,0)),""))</f>
        <v/>
      </c>
      <c r="J43" s="46">
        <f>_xlfn.TEXTJOIN(".",1,B43:I43)</f>
        <v/>
      </c>
      <c r="K43" s="46" t="inlineStr">
        <is>
          <t>Л6</t>
        </is>
      </c>
      <c r="L43" s="46" t="inlineStr">
        <is>
          <t>3.3.3.5.2.14</t>
        </is>
      </c>
      <c r="M43" s="47" t="inlineStr">
        <is>
          <t>Монтаж концентратора: Центральный контроллер обратной связи, Концентратор 7.2П, "ЛКДС"</t>
        </is>
      </c>
      <c r="N43" s="46" t="inlineStr">
        <is>
          <t>шт</t>
        </is>
      </c>
      <c r="O43" s="94">
        <f>P43+Q43+S43+V43</f>
        <v/>
      </c>
      <c r="P43" s="46" t="n"/>
      <c r="Q43" s="46" t="n">
        <v>2</v>
      </c>
      <c r="R43" s="46" t="n">
        <v>2</v>
      </c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8" t="n"/>
      <c r="AB43" s="179" t="n"/>
      <c r="AC43" s="180" t="n"/>
      <c r="AD43" s="189">
        <f>SUM(AB43:AC43)</f>
        <v/>
      </c>
      <c r="AE43" s="189">
        <f>AB43*$O43</f>
        <v/>
      </c>
      <c r="AF43" s="189">
        <f>AC43*$O43</f>
        <v/>
      </c>
      <c r="AG43" s="189">
        <f>SUM(AE43:AF43)</f>
        <v/>
      </c>
      <c r="AH43" s="182" t="n"/>
    </row>
    <row r="44" outlineLevel="1">
      <c r="A44" s="18" t="n"/>
      <c r="B44" s="11">
        <f>IF($K44=B$8,1+IF(OFFSET(B44,-1,0)="",0,OFFSET(B44,-1,0)),IF(B$8&lt;$K44,IF(OFFSET(B44,-1,0)="","ERR",OFFSET(B44,-1,0)),""))</f>
        <v/>
      </c>
      <c r="C44" s="11">
        <f>IF($K44=C$8,1+IF(OFFSET(C44,-1,0)="",0,OFFSET(C44,-1,0)),IF(C$8&lt;$K44,IF(OFFSET(C44,-1,0)="","ERR",OFFSET(C44,-1,0)),""))</f>
        <v/>
      </c>
      <c r="D44" s="11">
        <f>IF($K44=D$8,1+IF(OFFSET(D44,-1,0)="",0,OFFSET(D44,-1,0)),IF(D$8&lt;$K44,IF(OFFSET(D44,-1,0)="","ERR",OFFSET(D44,-1,0)),""))</f>
        <v/>
      </c>
      <c r="E44" s="11">
        <f>IF($K44=E$8,1+IF(OFFSET(E44,-1,0)="",0,OFFSET(E44,-1,0)),IF(E$8&lt;$K44,IF(OFFSET(E44,-1,0)="","ERR",OFFSET(E44,-1,0)),""))</f>
        <v/>
      </c>
      <c r="F44" s="11">
        <f>IF($K44=F$8,1+IF(OFFSET(F44,-1,0)="",0,OFFSET(F44,-1,0)),IF(F$8&lt;$K44,IF(OFFSET(F44,-1,0)="","ERR",OFFSET(F44,-1,0)),""))</f>
        <v/>
      </c>
      <c r="G44" s="11">
        <f>IF($K44=G$8,1+IF(OFFSET(G44,-1,0)="",0,OFFSET(G44,-1,0)),IF(G$8&lt;$K44,IF(OFFSET(G44,-1,0)="","ERR",OFFSET(G44,-1,0)),""))</f>
        <v/>
      </c>
      <c r="H44" s="11">
        <f>IF($K44=H$8,1+IF(OFFSET(H44,-1,0)="",0,OFFSET(H44,-1,0)),IF(H$8&lt;$K44,IF(OFFSET(H44,-1,0)="","ERR",OFFSET(H44,-1,0)),""))</f>
        <v/>
      </c>
      <c r="I44" s="11">
        <f>IF($K44=I$8,1+IF(OFFSET(I44,-1,0)="",0,OFFSET(I44,-1,0)),IF(I$8&lt;$K44,IF(OFFSET(I44,-1,0)="","ERR",OFFSET(I44,-1,0)),""))</f>
        <v/>
      </c>
      <c r="J44" s="43">
        <f>_xlfn.TEXTJOIN(".",1,B44:I44)</f>
        <v/>
      </c>
      <c r="K44" s="43" t="inlineStr">
        <is>
          <t>Л5</t>
        </is>
      </c>
      <c r="L44" s="43" t="inlineStr">
        <is>
          <t>3.3.3.5.3</t>
        </is>
      </c>
      <c r="M44" s="44" t="inlineStr">
        <is>
          <t>Кабельно-проводниковая продукция</t>
        </is>
      </c>
      <c r="N44" s="43" t="n"/>
      <c r="O44" s="9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5" t="n"/>
      <c r="AB44" s="185" t="n"/>
      <c r="AC44" s="186" t="n"/>
      <c r="AD44" s="186" t="n"/>
      <c r="AE44" s="186" t="n"/>
      <c r="AF44" s="186" t="n"/>
      <c r="AG44" s="186" t="n"/>
      <c r="AH44" s="178" t="n"/>
    </row>
    <row r="45" outlineLevel="1" ht="25.5" customHeight="1">
      <c r="A45" s="18" t="inlineStr">
        <is>
          <t>О</t>
        </is>
      </c>
      <c r="B45" s="11">
        <f>IF($K45=B$8,1+IF(OFFSET(B45,-1,0)="",0,OFFSET(B45,-1,0)),IF(B$8&lt;$K45,IF(OFFSET(B45,-1,0)="","ERR",OFFSET(B45,-1,0)),""))</f>
        <v/>
      </c>
      <c r="C45" s="11">
        <f>IF($K45=C$8,1+IF(OFFSET(C45,-1,0)="",0,OFFSET(C45,-1,0)),IF(C$8&lt;$K45,IF(OFFSET(C45,-1,0)="","ERR",OFFSET(C45,-1,0)),""))</f>
        <v/>
      </c>
      <c r="D45" s="11">
        <f>IF($K45=D$8,1+IF(OFFSET(D45,-1,0)="",0,OFFSET(D45,-1,0)),IF(D$8&lt;$K45,IF(OFFSET(D45,-1,0)="","ERR",OFFSET(D45,-1,0)),""))</f>
        <v/>
      </c>
      <c r="E45" s="11">
        <f>IF($K45=E$8,1+IF(OFFSET(E45,-1,0)="",0,OFFSET(E45,-1,0)),IF(E$8&lt;$K45,IF(OFFSET(E45,-1,0)="","ERR",OFFSET(E45,-1,0)),""))</f>
        <v/>
      </c>
      <c r="F45" s="11">
        <f>IF($K45=F$8,1+IF(OFFSET(F45,-1,0)="",0,OFFSET(F45,-1,0)),IF(F$8&lt;$K45,IF(OFFSET(F45,-1,0)="","ERR",OFFSET(F45,-1,0)),""))</f>
        <v/>
      </c>
      <c r="G45" s="11">
        <f>IF($K45=G$8,1+IF(OFFSET(G45,-1,0)="",0,OFFSET(G45,-1,0)),IF(G$8&lt;$K45,IF(OFFSET(G45,-1,0)="","ERR",OFFSET(G45,-1,0)),""))</f>
        <v/>
      </c>
      <c r="H45" s="11">
        <f>IF($K45=H$8,1+IF(OFFSET(H45,-1,0)="",0,OFFSET(H45,-1,0)),IF(H$8&lt;$K45,IF(OFFSET(H45,-1,0)="","ERR",OFFSET(H45,-1,0)),""))</f>
        <v/>
      </c>
      <c r="I45" s="11">
        <f>IF($K45=I$8,1+IF(OFFSET(I45,-1,0)="",0,OFFSET(I45,-1,0)),IF(I$8&lt;$K45,IF(OFFSET(I45,-1,0)="","ERR",OFFSET(I45,-1,0)),""))</f>
        <v/>
      </c>
      <c r="J45" s="46">
        <f>_xlfn.TEXTJOIN(".",1,B45:I45)</f>
        <v/>
      </c>
      <c r="K45" s="46" t="inlineStr">
        <is>
          <t>Л6</t>
        </is>
      </c>
      <c r="L45" s="46" t="inlineStr">
        <is>
          <t>3.3.3.5.3.1</t>
        </is>
      </c>
      <c r="M45" s="47" t="inlineStr">
        <is>
          <t>Прокладка кабеля/провода слаботочных систем и автоматики по конструкциям и в трубах здания: Кабель UTP селекторной связи, СПЕЦЛАН UTP-5нг(А)-FRHF 4х2х0,52</t>
        </is>
      </c>
      <c r="N45" s="46" t="inlineStr">
        <is>
          <t>пог. м</t>
        </is>
      </c>
      <c r="O45" s="94">
        <f>P45+Q45+S45+V45</f>
        <v/>
      </c>
      <c r="P45" s="46" t="n"/>
      <c r="Q45" s="46" t="n">
        <v>13</v>
      </c>
      <c r="R45" s="46" t="n">
        <v>13</v>
      </c>
      <c r="S45" s="46" t="n">
        <v>10</v>
      </c>
      <c r="T45" s="46" t="n">
        <v>10</v>
      </c>
      <c r="U45" s="46" t="n">
        <v>27</v>
      </c>
      <c r="V45" s="46" t="n">
        <v>27</v>
      </c>
      <c r="W45" s="46" t="n"/>
      <c r="X45" s="46" t="n"/>
      <c r="Y45" s="46" t="n"/>
      <c r="Z45" s="46" t="n"/>
      <c r="AA45" s="48" t="n"/>
      <c r="AB45" s="179" t="n"/>
      <c r="AC45" s="180" t="n"/>
      <c r="AD45" s="189">
        <f>SUM(AB45:AC45)</f>
        <v/>
      </c>
      <c r="AE45" s="189">
        <f>AB45*$O45</f>
        <v/>
      </c>
      <c r="AF45" s="189">
        <f>AC45*$O45</f>
        <v/>
      </c>
      <c r="AG45" s="189">
        <f>SUM(AE45:AF45)</f>
        <v/>
      </c>
      <c r="AH45" s="182" t="n"/>
    </row>
    <row r="46" outlineLevel="1" ht="25.5" customHeight="1">
      <c r="A46" s="18" t="inlineStr">
        <is>
          <t>О</t>
        </is>
      </c>
      <c r="B46" s="11">
        <f>IF($K46=B$8,1+IF(OFFSET(B46,-1,0)="",0,OFFSET(B46,-1,0)),IF(B$8&lt;$K46,IF(OFFSET(B46,-1,0)="","ERR",OFFSET(B46,-1,0)),""))</f>
        <v/>
      </c>
      <c r="C46" s="11">
        <f>IF($K46=C$8,1+IF(OFFSET(C46,-1,0)="",0,OFFSET(C46,-1,0)),IF(C$8&lt;$K46,IF(OFFSET(C46,-1,0)="","ERR",OFFSET(C46,-1,0)),""))</f>
        <v/>
      </c>
      <c r="D46" s="11">
        <f>IF($K46=D$8,1+IF(OFFSET(D46,-1,0)="",0,OFFSET(D46,-1,0)),IF(D$8&lt;$K46,IF(OFFSET(D46,-1,0)="","ERR",OFFSET(D46,-1,0)),""))</f>
        <v/>
      </c>
      <c r="E46" s="11">
        <f>IF($K46=E$8,1+IF(OFFSET(E46,-1,0)="",0,OFFSET(E46,-1,0)),IF(E$8&lt;$K46,IF(OFFSET(E46,-1,0)="","ERR",OFFSET(E46,-1,0)),""))</f>
        <v/>
      </c>
      <c r="F46" s="11">
        <f>IF($K46=F$8,1+IF(OFFSET(F46,-1,0)="",0,OFFSET(F46,-1,0)),IF(F$8&lt;$K46,IF(OFFSET(F46,-1,0)="","ERR",OFFSET(F46,-1,0)),""))</f>
        <v/>
      </c>
      <c r="G46" s="11">
        <f>IF($K46=G$8,1+IF(OFFSET(G46,-1,0)="",0,OFFSET(G46,-1,0)),IF(G$8&lt;$K46,IF(OFFSET(G46,-1,0)="","ERR",OFFSET(G46,-1,0)),""))</f>
        <v/>
      </c>
      <c r="H46" s="11">
        <f>IF($K46=H$8,1+IF(OFFSET(H46,-1,0)="",0,OFFSET(H46,-1,0)),IF(H$8&lt;$K46,IF(OFFSET(H46,-1,0)="","ERR",OFFSET(H46,-1,0)),""))</f>
        <v/>
      </c>
      <c r="I46" s="11">
        <f>IF($K46=I$8,1+IF(OFFSET(I46,-1,0)="",0,OFFSET(I46,-1,0)),IF(I$8&lt;$K46,IF(OFFSET(I46,-1,0)="","ERR",OFFSET(I46,-1,0)),""))</f>
        <v/>
      </c>
      <c r="J46" s="46">
        <f>_xlfn.TEXTJOIN(".",1,B46:I46)</f>
        <v/>
      </c>
      <c r="K46" s="46" t="inlineStr">
        <is>
          <t>Л6</t>
        </is>
      </c>
      <c r="L46" s="46" t="inlineStr">
        <is>
          <t>3.3.3.5.3.1</t>
        </is>
      </c>
      <c r="M46" s="47" t="inlineStr">
        <is>
          <t>Прокладка кабеля/провода слаботочных систем и автоматики по конструкциям и в трубах здания: Кабель UTP селекторной связи, КПСнг(А)-FRHF 2х2х0,75</t>
        </is>
      </c>
      <c r="N46" s="46" t="inlineStr">
        <is>
          <t>пог. м</t>
        </is>
      </c>
      <c r="O46" s="94">
        <f>P46+Q46+S46+V46</f>
        <v/>
      </c>
      <c r="P46" s="46" t="n"/>
      <c r="Q46" s="46" t="n">
        <v>1865</v>
      </c>
      <c r="R46" s="46" t="n">
        <v>1865</v>
      </c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8" t="n"/>
      <c r="AB46" s="179" t="n"/>
      <c r="AC46" s="180" t="n"/>
      <c r="AD46" s="189">
        <f>SUM(AB46:AC46)</f>
        <v/>
      </c>
      <c r="AE46" s="189">
        <f>AB46*$O46</f>
        <v/>
      </c>
      <c r="AF46" s="189">
        <f>AC46*$O46</f>
        <v/>
      </c>
      <c r="AG46" s="189">
        <f>SUM(AE46:AF46)</f>
        <v/>
      </c>
      <c r="AH46" s="182" t="n"/>
    </row>
    <row r="47" outlineLevel="1">
      <c r="A47" s="18" t="n"/>
      <c r="B47" s="11">
        <f>IF($K47=B$8,1+IF(OFFSET(B47,-1,0)="",0,OFFSET(B47,-1,0)),IF(B$8&lt;$K47,IF(OFFSET(B47,-1,0)="","ERR",OFFSET(B47,-1,0)),""))</f>
        <v/>
      </c>
      <c r="C47" s="11">
        <f>IF($K47=C$8,1+IF(OFFSET(C47,-1,0)="",0,OFFSET(C47,-1,0)),IF(C$8&lt;$K47,IF(OFFSET(C47,-1,0)="","ERR",OFFSET(C47,-1,0)),""))</f>
        <v/>
      </c>
      <c r="D47" s="11">
        <f>IF($K47=D$8,1+IF(OFFSET(D47,-1,0)="",0,OFFSET(D47,-1,0)),IF(D$8&lt;$K47,IF(OFFSET(D47,-1,0)="","ERR",OFFSET(D47,-1,0)),""))</f>
        <v/>
      </c>
      <c r="E47" s="11">
        <f>IF($K47=E$8,1+IF(OFFSET(E47,-1,0)="",0,OFFSET(E47,-1,0)),IF(E$8&lt;$K47,IF(OFFSET(E47,-1,0)="","ERR",OFFSET(E47,-1,0)),""))</f>
        <v/>
      </c>
      <c r="F47" s="11">
        <f>IF($K47=F$8,1+IF(OFFSET(F47,-1,0)="",0,OFFSET(F47,-1,0)),IF(F$8&lt;$K47,IF(OFFSET(F47,-1,0)="","ERR",OFFSET(F47,-1,0)),""))</f>
        <v/>
      </c>
      <c r="G47" s="11">
        <f>IF($K47=G$8,1+IF(OFFSET(G47,-1,0)="",0,OFFSET(G47,-1,0)),IF(G$8&lt;$K47,IF(OFFSET(G47,-1,0)="","ERR",OFFSET(G47,-1,0)),""))</f>
        <v/>
      </c>
      <c r="H47" s="11">
        <f>IF($K47=H$8,1+IF(OFFSET(H47,-1,0)="",0,OFFSET(H47,-1,0)),IF(H$8&lt;$K47,IF(OFFSET(H47,-1,0)="","ERR",OFFSET(H47,-1,0)),""))</f>
        <v/>
      </c>
      <c r="I47" s="11">
        <f>IF($K47=I$8,1+IF(OFFSET(I47,-1,0)="",0,OFFSET(I47,-1,0)),IF(I$8&lt;$K47,IF(OFFSET(I47,-1,0)="","ERR",OFFSET(I47,-1,0)),""))</f>
        <v/>
      </c>
      <c r="J47" s="43">
        <f>_xlfn.TEXTJOIN(".",1,B47:I47)</f>
        <v/>
      </c>
      <c r="K47" s="43" t="inlineStr">
        <is>
          <t>Л5</t>
        </is>
      </c>
      <c r="L47" s="43" t="inlineStr">
        <is>
          <t>3.3.3.5.4</t>
        </is>
      </c>
      <c r="M47" s="44" t="inlineStr">
        <is>
          <t>Трубы, гофра, кабеленесущие конструкции</t>
        </is>
      </c>
      <c r="N47" s="43" t="n"/>
      <c r="O47" s="9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5" t="n"/>
      <c r="AB47" s="185" t="n"/>
      <c r="AC47" s="186" t="n"/>
      <c r="AD47" s="186" t="n"/>
      <c r="AE47" s="186" t="n"/>
      <c r="AF47" s="186" t="n"/>
      <c r="AG47" s="186" t="n"/>
      <c r="AH47" s="178" t="n"/>
    </row>
    <row r="48" outlineLevel="1" ht="25.5" customHeight="1">
      <c r="A48" s="18" t="inlineStr">
        <is>
          <t>О</t>
        </is>
      </c>
      <c r="B48" s="11">
        <f>IF($K48=B$8,1+IF(OFFSET(B48,-1,0)="",0,OFFSET(B48,-1,0)),IF(B$8&lt;$K48,IF(OFFSET(B48,-1,0)="","ERR",OFFSET(B48,-1,0)),""))</f>
        <v/>
      </c>
      <c r="C48" s="11">
        <f>IF($K48=C$8,1+IF(OFFSET(C48,-1,0)="",0,OFFSET(C48,-1,0)),IF(C$8&lt;$K48,IF(OFFSET(C48,-1,0)="","ERR",OFFSET(C48,-1,0)),""))</f>
        <v/>
      </c>
      <c r="D48" s="11">
        <f>IF($K48=D$8,1+IF(OFFSET(D48,-1,0)="",0,OFFSET(D48,-1,0)),IF(D$8&lt;$K48,IF(OFFSET(D48,-1,0)="","ERR",OFFSET(D48,-1,0)),""))</f>
        <v/>
      </c>
      <c r="E48" s="11">
        <f>IF($K48=E$8,1+IF(OFFSET(E48,-1,0)="",0,OFFSET(E48,-1,0)),IF(E$8&lt;$K48,IF(OFFSET(E48,-1,0)="","ERR",OFFSET(E48,-1,0)),""))</f>
        <v/>
      </c>
      <c r="F48" s="11">
        <f>IF($K48=F$8,1+IF(OFFSET(F48,-1,0)="",0,OFFSET(F48,-1,0)),IF(F$8&lt;$K48,IF(OFFSET(F48,-1,0)="","ERR",OFFSET(F48,-1,0)),""))</f>
        <v/>
      </c>
      <c r="G48" s="11">
        <f>IF($K48=G$8,1+IF(OFFSET(G48,-1,0)="",0,OFFSET(G48,-1,0)),IF(G$8&lt;$K48,IF(OFFSET(G48,-1,0)="","ERR",OFFSET(G48,-1,0)),""))</f>
        <v/>
      </c>
      <c r="H48" s="11">
        <f>IF($K48=H$8,1+IF(OFFSET(H48,-1,0)="",0,OFFSET(H48,-1,0)),IF(H$8&lt;$K48,IF(OFFSET(H48,-1,0)="","ERR",OFFSET(H48,-1,0)),""))</f>
        <v/>
      </c>
      <c r="I48" s="11">
        <f>IF($K48=I$8,1+IF(OFFSET(I48,-1,0)="",0,OFFSET(I48,-1,0)),IF(I$8&lt;$K48,IF(OFFSET(I48,-1,0)="","ERR",OFFSET(I48,-1,0)),""))</f>
        <v/>
      </c>
      <c r="J48" s="46">
        <f>_xlfn.TEXTJOIN(".",1,B48:I48)</f>
        <v/>
      </c>
      <c r="K48" s="46" t="inlineStr">
        <is>
          <t>Л6</t>
        </is>
      </c>
      <c r="L48" s="46" t="inlineStr">
        <is>
          <t>3.3.3.5.4.5</t>
        </is>
      </c>
      <c r="M48" s="47" t="inlineStr">
        <is>
          <t>Монтаж гильз из трубы стальной диаметром до 50 мм с последующей противопожарной заделкой: Труба стальная электросварная D=25х1 ГОСТ 3262-75</t>
        </is>
      </c>
      <c r="N48" s="46" t="inlineStr">
        <is>
          <t>пог. м</t>
        </is>
      </c>
      <c r="O48" s="94">
        <f>P48+Q48+S48+V48</f>
        <v/>
      </c>
      <c r="P48" s="46" t="n"/>
      <c r="Q48" s="46" t="n">
        <v>10</v>
      </c>
      <c r="R48" s="46" t="n">
        <v>10</v>
      </c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8" t="n"/>
      <c r="AB48" s="179" t="n"/>
      <c r="AC48" s="180" t="n"/>
      <c r="AD48" s="189">
        <f>SUM(AB48:AC48)</f>
        <v/>
      </c>
      <c r="AE48" s="189">
        <f>AB48*$O48</f>
        <v/>
      </c>
      <c r="AF48" s="189">
        <f>AC48*$O48</f>
        <v/>
      </c>
      <c r="AG48" s="189">
        <f>SUM(AE48:AF48)</f>
        <v/>
      </c>
      <c r="AH48" s="182" t="n"/>
    </row>
    <row r="49" outlineLevel="1">
      <c r="A49" s="18" t="n"/>
      <c r="B49" s="11">
        <f>IF($K49=B$8,1+IF(OFFSET(B49,-1,0)="",0,OFFSET(B49,-1,0)),IF(B$8&lt;$K49,IF(OFFSET(B49,-1,0)="","ERR",OFFSET(B49,-1,0)),""))</f>
        <v/>
      </c>
      <c r="C49" s="11">
        <f>IF($K49=C$8,1+IF(OFFSET(C49,-1,0)="",0,OFFSET(C49,-1,0)),IF(C$8&lt;$K49,IF(OFFSET(C49,-1,0)="","ERR",OFFSET(C49,-1,0)),""))</f>
        <v/>
      </c>
      <c r="D49" s="11">
        <f>IF($K49=D$8,1+IF(OFFSET(D49,-1,0)="",0,OFFSET(D49,-1,0)),IF(D$8&lt;$K49,IF(OFFSET(D49,-1,0)="","ERR",OFFSET(D49,-1,0)),""))</f>
        <v/>
      </c>
      <c r="E49" s="11">
        <f>IF($K49=E$8,1+IF(OFFSET(E49,-1,0)="",0,OFFSET(E49,-1,0)),IF(E$8&lt;$K49,IF(OFFSET(E49,-1,0)="","ERR",OFFSET(E49,-1,0)),""))</f>
        <v/>
      </c>
      <c r="F49" s="11">
        <f>IF($K49=F$8,1+IF(OFFSET(F49,-1,0)="",0,OFFSET(F49,-1,0)),IF(F$8&lt;$K49,IF(OFFSET(F49,-1,0)="","ERR",OFFSET(F49,-1,0)),""))</f>
        <v/>
      </c>
      <c r="G49" s="11">
        <f>IF($K49=G$8,1+IF(OFFSET(G49,-1,0)="",0,OFFSET(G49,-1,0)),IF(G$8&lt;$K49,IF(OFFSET(G49,-1,0)="","ERR",OFFSET(G49,-1,0)),""))</f>
        <v/>
      </c>
      <c r="H49" s="11">
        <f>IF($K49=H$8,1+IF(OFFSET(H49,-1,0)="",0,OFFSET(H49,-1,0)),IF(H$8&lt;$K49,IF(OFFSET(H49,-1,0)="","ERR",OFFSET(H49,-1,0)),""))</f>
        <v/>
      </c>
      <c r="I49" s="11">
        <f>IF($K49=I$8,1+IF(OFFSET(I49,-1,0)="",0,OFFSET(I49,-1,0)),IF(I$8&lt;$K49,IF(OFFSET(I49,-1,0)="","ERR",OFFSET(I49,-1,0)),""))</f>
        <v/>
      </c>
      <c r="J49" s="43">
        <f>_xlfn.TEXTJOIN(".",1,B49:I49)</f>
        <v/>
      </c>
      <c r="K49" s="43" t="inlineStr">
        <is>
          <t>Л5</t>
        </is>
      </c>
      <c r="L49" s="43" t="inlineStr">
        <is>
          <t>3.3.3.5.5</t>
        </is>
      </c>
      <c r="M49" s="44" t="inlineStr">
        <is>
          <t>Электромонтажные изделия и материалы</t>
        </is>
      </c>
      <c r="N49" s="43" t="n"/>
      <c r="O49" s="9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5" t="n"/>
      <c r="AB49" s="185" t="n"/>
      <c r="AC49" s="186" t="n"/>
      <c r="AD49" s="186" t="n"/>
      <c r="AE49" s="186" t="n"/>
      <c r="AF49" s="186" t="n"/>
      <c r="AG49" s="186" t="n"/>
      <c r="AH49" s="178" t="n"/>
    </row>
    <row r="50" outlineLevel="1" ht="25.5" customHeight="1">
      <c r="A50" s="18" t="inlineStr">
        <is>
          <t>О</t>
        </is>
      </c>
      <c r="B50" s="11">
        <f>IF($K50=B$8,1+IF(OFFSET(B50,-1,0)="",0,OFFSET(B50,-1,0)),IF(B$8&lt;$K50,IF(OFFSET(B50,-1,0)="","ERR",OFFSET(B50,-1,0)),""))</f>
        <v/>
      </c>
      <c r="C50" s="11">
        <f>IF($K50=C$8,1+IF(OFFSET(C50,-1,0)="",0,OFFSET(C50,-1,0)),IF(C$8&lt;$K50,IF(OFFSET(C50,-1,0)="","ERR",OFFSET(C50,-1,0)),""))</f>
        <v/>
      </c>
      <c r="D50" s="11">
        <f>IF($K50=D$8,1+IF(OFFSET(D50,-1,0)="",0,OFFSET(D50,-1,0)),IF(D$8&lt;$K50,IF(OFFSET(D50,-1,0)="","ERR",OFFSET(D50,-1,0)),""))</f>
        <v/>
      </c>
      <c r="E50" s="11">
        <f>IF($K50=E$8,1+IF(OFFSET(E50,-1,0)="",0,OFFSET(E50,-1,0)),IF(E$8&lt;$K50,IF(OFFSET(E50,-1,0)="","ERR",OFFSET(E50,-1,0)),""))</f>
        <v/>
      </c>
      <c r="F50" s="11">
        <f>IF($K50=F$8,1+IF(OFFSET(F50,-1,0)="",0,OFFSET(F50,-1,0)),IF(F$8&lt;$K50,IF(OFFSET(F50,-1,0)="","ERR",OFFSET(F50,-1,0)),""))</f>
        <v/>
      </c>
      <c r="G50" s="11">
        <f>IF($K50=G$8,1+IF(OFFSET(G50,-1,0)="",0,OFFSET(G50,-1,0)),IF(G$8&lt;$K50,IF(OFFSET(G50,-1,0)="","ERR",OFFSET(G50,-1,0)),""))</f>
        <v/>
      </c>
      <c r="H50" s="11">
        <f>IF($K50=H$8,1+IF(OFFSET(H50,-1,0)="",0,OFFSET(H50,-1,0)),IF(H$8&lt;$K50,IF(OFFSET(H50,-1,0)="","ERR",OFFSET(H50,-1,0)),""))</f>
        <v/>
      </c>
      <c r="I50" s="11">
        <f>IF($K50=I$8,1+IF(OFFSET(I50,-1,0)="",0,OFFSET(I50,-1,0)),IF(I$8&lt;$K50,IF(OFFSET(I50,-1,0)="","ERR",OFFSET(I50,-1,0)),""))</f>
        <v/>
      </c>
      <c r="J50" s="46">
        <f>_xlfn.TEXTJOIN(".",1,B50:I50)</f>
        <v/>
      </c>
      <c r="K50" s="46" t="inlineStr">
        <is>
          <t>Л6</t>
        </is>
      </c>
      <c r="L50" s="46" t="inlineStr">
        <is>
          <t>3.3.3.5.5.1</t>
        </is>
      </c>
      <c r="M50" s="47" t="inlineStr">
        <is>
          <t>Монтаж коробки распределительной, ответвительной, распаячной или протяжной: Коробка огнестойкая монтажная, ККО МЕТА 7403-4, «МЕТА»</t>
        </is>
      </c>
      <c r="N50" s="46" t="inlineStr">
        <is>
          <t>шт</t>
        </is>
      </c>
      <c r="O50" s="94">
        <f>P50+Q50+S50+V50</f>
        <v/>
      </c>
      <c r="P50" s="46" t="n"/>
      <c r="Q50" s="46" t="n">
        <v>8</v>
      </c>
      <c r="R50" s="46" t="n">
        <v>8</v>
      </c>
      <c r="S50" s="46" t="n">
        <v>6</v>
      </c>
      <c r="T50" s="46" t="n">
        <v>6</v>
      </c>
      <c r="U50" s="46" t="n">
        <v>17</v>
      </c>
      <c r="V50" s="46" t="n">
        <v>17</v>
      </c>
      <c r="W50" s="46" t="n"/>
      <c r="X50" s="46" t="n"/>
      <c r="Y50" s="46" t="n"/>
      <c r="Z50" s="46" t="n"/>
      <c r="AA50" s="48" t="n"/>
      <c r="AB50" s="179" t="n"/>
      <c r="AC50" s="180" t="n"/>
      <c r="AD50" s="189">
        <f>SUM(AB50:AC50)</f>
        <v/>
      </c>
      <c r="AE50" s="189">
        <f>AB50*$O50</f>
        <v/>
      </c>
      <c r="AF50" s="189">
        <f>AC50*$O50</f>
        <v/>
      </c>
      <c r="AG50" s="189">
        <f>SUM(AE50:AF50)</f>
        <v/>
      </c>
      <c r="AH50" s="182" t="n"/>
    </row>
    <row r="51">
      <c r="A51" s="18" t="n"/>
      <c r="B51" s="11">
        <f>IF($K51=B$8,1+IF(OFFSET(B51,-1,0)="",0,OFFSET(B51,-1,0)),IF(B$8&lt;$K51,IF(OFFSET(B51,-1,0)="","ERR",OFFSET(B51,-1,0)),""))</f>
        <v/>
      </c>
      <c r="C51" s="11">
        <f>IF($K51=C$8,1+IF(OFFSET(C51,-1,0)="",0,OFFSET(C51,-1,0)),IF(C$8&lt;$K51,IF(OFFSET(C51,-1,0)="","ERR",OFFSET(C51,-1,0)),""))</f>
        <v/>
      </c>
      <c r="D51" s="11">
        <f>IF($K51=D$8,1+IF(OFFSET(D51,-1,0)="",0,OFFSET(D51,-1,0)),IF(D$8&lt;$K51,IF(OFFSET(D51,-1,0)="","ERR",OFFSET(D51,-1,0)),""))</f>
        <v/>
      </c>
      <c r="E51" s="11">
        <f>IF($K51=E$8,1+IF(OFFSET(E51,-1,0)="",0,OFFSET(E51,-1,0)),IF(E$8&lt;$K51,IF(OFFSET(E51,-1,0)="","ERR",OFFSET(E51,-1,0)),""))</f>
        <v/>
      </c>
      <c r="F51" s="11">
        <f>IF($K51=F$8,1+IF(OFFSET(F51,-1,0)="",0,OFFSET(F51,-1,0)),IF(F$8&lt;$K51,IF(OFFSET(F51,-1,0)="","ERR",OFFSET(F51,-1,0)),""))</f>
        <v/>
      </c>
      <c r="G51" s="11">
        <f>IF($K51=G$8,1+IF(OFFSET(G51,-1,0)="",0,OFFSET(G51,-1,0)),IF(G$8&lt;$K51,IF(OFFSET(G51,-1,0)="","ERR",OFFSET(G51,-1,0)),""))</f>
        <v/>
      </c>
      <c r="H51" s="11">
        <f>IF($K51=H$8,1+IF(OFFSET(H51,-1,0)="",0,OFFSET(H51,-1,0)),IF(H$8&lt;$K51,IF(OFFSET(H51,-1,0)="","ERR",OFFSET(H51,-1,0)),""))</f>
        <v/>
      </c>
      <c r="I51" s="11">
        <f>IF($K51=I$8,1+IF(OFFSET(I51,-1,0)="",0,OFFSET(I51,-1,0)),IF(I$8&lt;$K51,IF(OFFSET(I51,-1,0)="","ERR",OFFSET(I51,-1,0)),""))</f>
        <v/>
      </c>
      <c r="J51" s="40">
        <f>_xlfn.TEXTJOIN(".",1,B51:I51)</f>
        <v/>
      </c>
      <c r="K51" s="40" t="inlineStr">
        <is>
          <t>Л4</t>
        </is>
      </c>
      <c r="L51" s="40" t="inlineStr">
        <is>
          <t>3.3.3.7</t>
        </is>
      </c>
      <c r="M51" s="41" t="inlineStr">
        <is>
          <t>ЛВС: Локальная вычислительная сеть. Служебный сегмент</t>
        </is>
      </c>
      <c r="N51" s="40" t="n"/>
      <c r="O51" s="92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2" t="inlineStr">
        <is>
          <t>ПТ-082022-23-Р-ЛВС0</t>
        </is>
      </c>
      <c r="AB51" s="183" t="n"/>
      <c r="AC51" s="184" t="n"/>
      <c r="AD51" s="184" t="n"/>
      <c r="AE51" s="184" t="n"/>
      <c r="AF51" s="184" t="n"/>
      <c r="AG51" s="184" t="n"/>
      <c r="AH51" s="175" t="n"/>
    </row>
    <row r="52" outlineLevel="1">
      <c r="A52" s="18" t="n"/>
      <c r="B52" s="11">
        <f>IF($K52=B$8,1+IF(OFFSET(B52,-1,0)="",0,OFFSET(B52,-1,0)),IF(B$8&lt;$K52,IF(OFFSET(B52,-1,0)="","ERR",OFFSET(B52,-1,0)),""))</f>
        <v/>
      </c>
      <c r="C52" s="11">
        <f>IF($K52=C$8,1+IF(OFFSET(C52,-1,0)="",0,OFFSET(C52,-1,0)),IF(C$8&lt;$K52,IF(OFFSET(C52,-1,0)="","ERR",OFFSET(C52,-1,0)),""))</f>
        <v/>
      </c>
      <c r="D52" s="11">
        <f>IF($K52=D$8,1+IF(OFFSET(D52,-1,0)="",0,OFFSET(D52,-1,0)),IF(D$8&lt;$K52,IF(OFFSET(D52,-1,0)="","ERR",OFFSET(D52,-1,0)),""))</f>
        <v/>
      </c>
      <c r="E52" s="11">
        <f>IF($K52=E$8,1+IF(OFFSET(E52,-1,0)="",0,OFFSET(E52,-1,0)),IF(E$8&lt;$K52,IF(OFFSET(E52,-1,0)="","ERR",OFFSET(E52,-1,0)),""))</f>
        <v/>
      </c>
      <c r="F52" s="11">
        <f>IF($K52=F$8,1+IF(OFFSET(F52,-1,0)="",0,OFFSET(F52,-1,0)),IF(F$8&lt;$K52,IF(OFFSET(F52,-1,0)="","ERR",OFFSET(F52,-1,0)),""))</f>
        <v/>
      </c>
      <c r="G52" s="11">
        <f>IF($K52=G$8,1+IF(OFFSET(G52,-1,0)="",0,OFFSET(G52,-1,0)),IF(G$8&lt;$K52,IF(OFFSET(G52,-1,0)="","ERR",OFFSET(G52,-1,0)),""))</f>
        <v/>
      </c>
      <c r="H52" s="11">
        <f>IF($K52=H$8,1+IF(OFFSET(H52,-1,0)="",0,OFFSET(H52,-1,0)),IF(H$8&lt;$K52,IF(OFFSET(H52,-1,0)="","ERR",OFFSET(H52,-1,0)),""))</f>
        <v/>
      </c>
      <c r="I52" s="11">
        <f>IF($K52=I$8,1+IF(OFFSET(I52,-1,0)="",0,OFFSET(I52,-1,0)),IF(I$8&lt;$K52,IF(OFFSET(I52,-1,0)="","ERR",OFFSET(I52,-1,0)),""))</f>
        <v/>
      </c>
      <c r="J52" s="43">
        <f>_xlfn.TEXTJOIN(".",1,B52:I52)</f>
        <v/>
      </c>
      <c r="K52" s="43" t="inlineStr">
        <is>
          <t>Л5</t>
        </is>
      </c>
      <c r="L52" s="43" t="inlineStr">
        <is>
          <t>3.3.3.7.1</t>
        </is>
      </c>
      <c r="M52" s="44" t="inlineStr">
        <is>
          <t>Шкафы автоматизации и управления</t>
        </is>
      </c>
      <c r="N52" s="43" t="n"/>
      <c r="O52" s="9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5" t="n"/>
      <c r="AB52" s="185" t="n"/>
      <c r="AC52" s="186" t="n"/>
      <c r="AD52" s="186" t="n"/>
      <c r="AE52" s="186" t="n"/>
      <c r="AF52" s="186" t="n"/>
      <c r="AG52" s="186" t="n"/>
      <c r="AH52" s="178" t="n"/>
    </row>
    <row r="53" outlineLevel="1">
      <c r="A53" s="18" t="inlineStr">
        <is>
          <t>О</t>
        </is>
      </c>
      <c r="B53" s="11">
        <f>IF($K53=B$8,1+IF(OFFSET(B53,-1,0)="",0,OFFSET(B53,-1,0)),IF(B$8&lt;$K53,IF(OFFSET(B53,-1,0)="","ERR",OFFSET(B53,-1,0)),""))</f>
        <v/>
      </c>
      <c r="C53" s="11">
        <f>IF($K53=C$8,1+IF(OFFSET(C53,-1,0)="",0,OFFSET(C53,-1,0)),IF(C$8&lt;$K53,IF(OFFSET(C53,-1,0)="","ERR",OFFSET(C53,-1,0)),""))</f>
        <v/>
      </c>
      <c r="D53" s="11">
        <f>IF($K53=D$8,1+IF(OFFSET(D53,-1,0)="",0,OFFSET(D53,-1,0)),IF(D$8&lt;$K53,IF(OFFSET(D53,-1,0)="","ERR",OFFSET(D53,-1,0)),""))</f>
        <v/>
      </c>
      <c r="E53" s="11">
        <f>IF($K53=E$8,1+IF(OFFSET(E53,-1,0)="",0,OFFSET(E53,-1,0)),IF(E$8&lt;$K53,IF(OFFSET(E53,-1,0)="","ERR",OFFSET(E53,-1,0)),""))</f>
        <v/>
      </c>
      <c r="F53" s="11">
        <f>IF($K53=F$8,1+IF(OFFSET(F53,-1,0)="",0,OFFSET(F53,-1,0)),IF(F$8&lt;$K53,IF(OFFSET(F53,-1,0)="","ERR",OFFSET(F53,-1,0)),""))</f>
        <v/>
      </c>
      <c r="G53" s="11">
        <f>IF($K53=G$8,1+IF(OFFSET(G53,-1,0)="",0,OFFSET(G53,-1,0)),IF(G$8&lt;$K53,IF(OFFSET(G53,-1,0)="","ERR",OFFSET(G53,-1,0)),""))</f>
        <v/>
      </c>
      <c r="H53" s="11">
        <f>IF($K53=H$8,1+IF(OFFSET(H53,-1,0)="",0,OFFSET(H53,-1,0)),IF(H$8&lt;$K53,IF(OFFSET(H53,-1,0)="","ERR",OFFSET(H53,-1,0)),""))</f>
        <v/>
      </c>
      <c r="I53" s="11">
        <f>IF($K53=I$8,1+IF(OFFSET(I53,-1,0)="",0,OFFSET(I53,-1,0)),IF(I$8&lt;$K53,IF(OFFSET(I53,-1,0)="","ERR",OFFSET(I53,-1,0)),""))</f>
        <v/>
      </c>
      <c r="J53" s="46">
        <f>_xlfn.TEXTJOIN(".",1,B53:I53)</f>
        <v/>
      </c>
      <c r="K53" s="46" t="inlineStr">
        <is>
          <t>Л6</t>
        </is>
      </c>
      <c r="L53" s="46" t="inlineStr">
        <is>
          <t>3.3.3.7.1.1</t>
        </is>
      </c>
      <c r="M53" s="47" t="inlineStr">
        <is>
          <t>Монтаж телекоммуникационного шкафа/стойка (ТШ) напольного комплектного</t>
        </is>
      </c>
      <c r="N53" s="46" t="inlineStr">
        <is>
          <t>компл</t>
        </is>
      </c>
      <c r="O53" s="94">
        <f>P53+Q53+S53+V53</f>
        <v/>
      </c>
      <c r="P53" s="46" t="n"/>
      <c r="Q53" s="46" t="n">
        <v>1</v>
      </c>
      <c r="R53" s="46" t="n">
        <v>1</v>
      </c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8" t="inlineStr">
        <is>
          <t>ТШ СКС 4</t>
        </is>
      </c>
      <c r="AB53" s="187" t="n"/>
      <c r="AC53" s="180" t="n">
        <v>95000</v>
      </c>
      <c r="AD53" s="189">
        <f>SUM(AB53:AC53)</f>
        <v/>
      </c>
      <c r="AE53" s="189">
        <f>AB53*$O53</f>
        <v/>
      </c>
      <c r="AF53" s="189">
        <f>AC53*$O53</f>
        <v/>
      </c>
      <c r="AG53" s="189">
        <f>SUM(AE53:AF53)</f>
        <v/>
      </c>
      <c r="AH53" s="182" t="n"/>
    </row>
    <row r="54" outlineLevel="1">
      <c r="A54" s="18" t="inlineStr">
        <is>
          <t>О</t>
        </is>
      </c>
      <c r="B54" s="11">
        <f>IF($K54=B$8,1+IF(OFFSET(B54,-1,0)="",0,OFFSET(B54,-1,0)),IF(B$8&lt;$K54,IF(OFFSET(B54,-1,0)="","ERR",OFFSET(B54,-1,0)),""))</f>
        <v/>
      </c>
      <c r="C54" s="11">
        <f>IF($K54=C$8,1+IF(OFFSET(C54,-1,0)="",0,OFFSET(C54,-1,0)),IF(C$8&lt;$K54,IF(OFFSET(C54,-1,0)="","ERR",OFFSET(C54,-1,0)),""))</f>
        <v/>
      </c>
      <c r="D54" s="11">
        <f>IF($K54=D$8,1+IF(OFFSET(D54,-1,0)="",0,OFFSET(D54,-1,0)),IF(D$8&lt;$K54,IF(OFFSET(D54,-1,0)="","ERR",OFFSET(D54,-1,0)),""))</f>
        <v/>
      </c>
      <c r="E54" s="11">
        <f>IF($K54=E$8,1+IF(OFFSET(E54,-1,0)="",0,OFFSET(E54,-1,0)),IF(E$8&lt;$K54,IF(OFFSET(E54,-1,0)="","ERR",OFFSET(E54,-1,0)),""))</f>
        <v/>
      </c>
      <c r="F54" s="11">
        <f>IF($K54=F$8,1+IF(OFFSET(F54,-1,0)="",0,OFFSET(F54,-1,0)),IF(F$8&lt;$K54,IF(OFFSET(F54,-1,0)="","ERR",OFFSET(F54,-1,0)),""))</f>
        <v/>
      </c>
      <c r="G54" s="11">
        <f>IF($K54=G$8,1+IF(OFFSET(G54,-1,0)="",0,OFFSET(G54,-1,0)),IF(G$8&lt;$K54,IF(OFFSET(G54,-1,0)="","ERR",OFFSET(G54,-1,0)),""))</f>
        <v/>
      </c>
      <c r="H54" s="11">
        <f>IF($K54=H$8,1+IF(OFFSET(H54,-1,0)="",0,OFFSET(H54,-1,0)),IF(H$8&lt;$K54,IF(OFFSET(H54,-1,0)="","ERR",OFFSET(H54,-1,0)),""))</f>
        <v/>
      </c>
      <c r="I54" s="11">
        <f>IF($K54=I$8,1+IF(OFFSET(I54,-1,0)="",0,OFFSET(I54,-1,0)),IF(I$8&lt;$K54,IF(OFFSET(I54,-1,0)="","ERR",OFFSET(I54,-1,0)),""))</f>
        <v/>
      </c>
      <c r="J54" s="46">
        <f>_xlfn.TEXTJOIN(".",1,B54:I54)</f>
        <v/>
      </c>
      <c r="K54" s="46" t="inlineStr">
        <is>
          <t>Л7</t>
        </is>
      </c>
      <c r="L54" s="46" t="n"/>
      <c r="M54" s="47" t="inlineStr">
        <is>
          <t>Шкаф телекоммуникационный 19", напольный, 42U, 600х800 мм , ШТК-М-42.6.8-1ААА-9005, ТМ «ЦМО»</t>
        </is>
      </c>
      <c r="N54" s="46" t="inlineStr">
        <is>
          <t>шт.</t>
        </is>
      </c>
      <c r="O54" s="94">
        <f>P54+Q54+S54+V54</f>
        <v/>
      </c>
      <c r="P54" s="46" t="n"/>
      <c r="Q54" s="46" t="n">
        <v>1</v>
      </c>
      <c r="R54" s="46" t="n">
        <v>1</v>
      </c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8" t="n"/>
      <c r="AB54" s="179" t="n"/>
      <c r="AC54" s="189" t="n"/>
      <c r="AD54" s="189">
        <f>SUM(AB54:AC54)</f>
        <v/>
      </c>
      <c r="AE54" s="189">
        <f>AB54*$O54</f>
        <v/>
      </c>
      <c r="AF54" s="189">
        <f>AC54*$O54</f>
        <v/>
      </c>
      <c r="AG54" s="189">
        <f>SUM(AE54:AF54)</f>
        <v/>
      </c>
      <c r="AH54" s="182" t="n"/>
    </row>
    <row r="55" outlineLevel="1">
      <c r="A55" s="18" t="inlineStr">
        <is>
          <t>О</t>
        </is>
      </c>
      <c r="B55" s="11">
        <f>IF($K55=B$8,1+IF(OFFSET(B55,-1,0)="",0,OFFSET(B55,-1,0)),IF(B$8&lt;$K55,IF(OFFSET(B55,-1,0)="","ERR",OFFSET(B55,-1,0)),""))</f>
        <v/>
      </c>
      <c r="C55" s="11">
        <f>IF($K55=C$8,1+IF(OFFSET(C55,-1,0)="",0,OFFSET(C55,-1,0)),IF(C$8&lt;$K55,IF(OFFSET(C55,-1,0)="","ERR",OFFSET(C55,-1,0)),""))</f>
        <v/>
      </c>
      <c r="D55" s="11">
        <f>IF($K55=D$8,1+IF(OFFSET(D55,-1,0)="",0,OFFSET(D55,-1,0)),IF(D$8&lt;$K55,IF(OFFSET(D55,-1,0)="","ERR",OFFSET(D55,-1,0)),""))</f>
        <v/>
      </c>
      <c r="E55" s="11">
        <f>IF($K55=E$8,1+IF(OFFSET(E55,-1,0)="",0,OFFSET(E55,-1,0)),IF(E$8&lt;$K55,IF(OFFSET(E55,-1,0)="","ERR",OFFSET(E55,-1,0)),""))</f>
        <v/>
      </c>
      <c r="F55" s="11">
        <f>IF($K55=F$8,1+IF(OFFSET(F55,-1,0)="",0,OFFSET(F55,-1,0)),IF(F$8&lt;$K55,IF(OFFSET(F55,-1,0)="","ERR",OFFSET(F55,-1,0)),""))</f>
        <v/>
      </c>
      <c r="G55" s="11">
        <f>IF($K55=G$8,1+IF(OFFSET(G55,-1,0)="",0,OFFSET(G55,-1,0)),IF(G$8&lt;$K55,IF(OFFSET(G55,-1,0)="","ERR",OFFSET(G55,-1,0)),""))</f>
        <v/>
      </c>
      <c r="H55" s="11">
        <f>IF($K55=H$8,1+IF(OFFSET(H55,-1,0)="",0,OFFSET(H55,-1,0)),IF(H$8&lt;$K55,IF(OFFSET(H55,-1,0)="","ERR",OFFSET(H55,-1,0)),""))</f>
        <v/>
      </c>
      <c r="I55" s="11">
        <f>IF($K55=I$8,1+IF(OFFSET(I55,-1,0)="",0,OFFSET(I55,-1,0)),IF(I$8&lt;$K55,IF(OFFSET(I55,-1,0)="","ERR",OFFSET(I55,-1,0)),""))</f>
        <v/>
      </c>
      <c r="J55" s="46">
        <f>_xlfn.TEXTJOIN(".",1,B55:I55)</f>
        <v/>
      </c>
      <c r="K55" s="46" t="inlineStr">
        <is>
          <t>Л7</t>
        </is>
      </c>
      <c r="L55" s="46" t="n"/>
      <c r="M55" s="47" t="inlineStr">
        <is>
          <t>Модули вентиляторные потолочные, R-FAN-3T, ТМ «ЦМО»</t>
        </is>
      </c>
      <c r="N55" s="46" t="inlineStr">
        <is>
          <t>шт.</t>
        </is>
      </c>
      <c r="O55" s="94">
        <f>P55+Q55+S55+V55</f>
        <v/>
      </c>
      <c r="P55" s="46" t="n"/>
      <c r="Q55" s="46" t="n">
        <v>2</v>
      </c>
      <c r="R55" s="46" t="n">
        <v>2</v>
      </c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8" t="n"/>
      <c r="AB55" s="179" t="n"/>
      <c r="AC55" s="189" t="n"/>
      <c r="AD55" s="189">
        <f>SUM(AB55:AC55)</f>
        <v/>
      </c>
      <c r="AE55" s="189">
        <f>AB55*$O55</f>
        <v/>
      </c>
      <c r="AF55" s="189">
        <f>AC55*$O55</f>
        <v/>
      </c>
      <c r="AG55" s="189">
        <f>SUM(AE55:AF55)</f>
        <v/>
      </c>
      <c r="AH55" s="182" t="n"/>
    </row>
    <row r="56" outlineLevel="1">
      <c r="A56" s="18" t="inlineStr">
        <is>
          <t>О</t>
        </is>
      </c>
      <c r="B56" s="11">
        <f>IF($K56=B$8,1+IF(OFFSET(B56,-1,0)="",0,OFFSET(B56,-1,0)),IF(B$8&lt;$K56,IF(OFFSET(B56,-1,0)="","ERR",OFFSET(B56,-1,0)),""))</f>
        <v/>
      </c>
      <c r="C56" s="11">
        <f>IF($K56=C$8,1+IF(OFFSET(C56,-1,0)="",0,OFFSET(C56,-1,0)),IF(C$8&lt;$K56,IF(OFFSET(C56,-1,0)="","ERR",OFFSET(C56,-1,0)),""))</f>
        <v/>
      </c>
      <c r="D56" s="11">
        <f>IF($K56=D$8,1+IF(OFFSET(D56,-1,0)="",0,OFFSET(D56,-1,0)),IF(D$8&lt;$K56,IF(OFFSET(D56,-1,0)="","ERR",OFFSET(D56,-1,0)),""))</f>
        <v/>
      </c>
      <c r="E56" s="11">
        <f>IF($K56=E$8,1+IF(OFFSET(E56,-1,0)="",0,OFFSET(E56,-1,0)),IF(E$8&lt;$K56,IF(OFFSET(E56,-1,0)="","ERR",OFFSET(E56,-1,0)),""))</f>
        <v/>
      </c>
      <c r="F56" s="11">
        <f>IF($K56=F$8,1+IF(OFFSET(F56,-1,0)="",0,OFFSET(F56,-1,0)),IF(F$8&lt;$K56,IF(OFFSET(F56,-1,0)="","ERR",OFFSET(F56,-1,0)),""))</f>
        <v/>
      </c>
      <c r="G56" s="11">
        <f>IF($K56=G$8,1+IF(OFFSET(G56,-1,0)="",0,OFFSET(G56,-1,0)),IF(G$8&lt;$K56,IF(OFFSET(G56,-1,0)="","ERR",OFFSET(G56,-1,0)),""))</f>
        <v/>
      </c>
      <c r="H56" s="11">
        <f>IF($K56=H$8,1+IF(OFFSET(H56,-1,0)="",0,OFFSET(H56,-1,0)),IF(H$8&lt;$K56,IF(OFFSET(H56,-1,0)="","ERR",OFFSET(H56,-1,0)),""))</f>
        <v/>
      </c>
      <c r="I56" s="11">
        <f>IF($K56=I$8,1+IF(OFFSET(I56,-1,0)="",0,OFFSET(I56,-1,0)),IF(I$8&lt;$K56,IF(OFFSET(I56,-1,0)="","ERR",OFFSET(I56,-1,0)),""))</f>
        <v/>
      </c>
      <c r="J56" s="46">
        <f>_xlfn.TEXTJOIN(".",1,B56:I56)</f>
        <v/>
      </c>
      <c r="K56" s="46" t="inlineStr">
        <is>
          <t>Л7</t>
        </is>
      </c>
      <c r="L56" s="46" t="n"/>
      <c r="M56" s="47" t="inlineStr">
        <is>
          <t>Панель осветительная светодиодная, цвет черный, R-LED-220-B, ТМ «ЦМО»</t>
        </is>
      </c>
      <c r="N56" s="46" t="inlineStr">
        <is>
          <t>шт.</t>
        </is>
      </c>
      <c r="O56" s="94">
        <f>P56+Q56+S56+V56</f>
        <v/>
      </c>
      <c r="P56" s="46" t="n"/>
      <c r="Q56" s="46" t="n">
        <v>1</v>
      </c>
      <c r="R56" s="46" t="n">
        <v>1</v>
      </c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8" t="n"/>
      <c r="AB56" s="179" t="n"/>
      <c r="AC56" s="189" t="n"/>
      <c r="AD56" s="189">
        <f>SUM(AB56:AC56)</f>
        <v/>
      </c>
      <c r="AE56" s="189">
        <f>AB56*$O56</f>
        <v/>
      </c>
      <c r="AF56" s="189">
        <f>AC56*$O56</f>
        <v/>
      </c>
      <c r="AG56" s="189">
        <f>SUM(AE56:AF56)</f>
        <v/>
      </c>
      <c r="AH56" s="182" t="n"/>
    </row>
    <row r="57" outlineLevel="1" ht="25.5" customHeight="1">
      <c r="A57" s="18" t="inlineStr">
        <is>
          <t>О</t>
        </is>
      </c>
      <c r="B57" s="11">
        <f>IF($K57=B$8,1+IF(OFFSET(B57,-1,0)="",0,OFFSET(B57,-1,0)),IF(B$8&lt;$K57,IF(OFFSET(B57,-1,0)="","ERR",OFFSET(B57,-1,0)),""))</f>
        <v/>
      </c>
      <c r="C57" s="11">
        <f>IF($K57=C$8,1+IF(OFFSET(C57,-1,0)="",0,OFFSET(C57,-1,0)),IF(C$8&lt;$K57,IF(OFFSET(C57,-1,0)="","ERR",OFFSET(C57,-1,0)),""))</f>
        <v/>
      </c>
      <c r="D57" s="11">
        <f>IF($K57=D$8,1+IF(OFFSET(D57,-1,0)="",0,OFFSET(D57,-1,0)),IF(D$8&lt;$K57,IF(OFFSET(D57,-1,0)="","ERR",OFFSET(D57,-1,0)),""))</f>
        <v/>
      </c>
      <c r="E57" s="11">
        <f>IF($K57=E$8,1+IF(OFFSET(E57,-1,0)="",0,OFFSET(E57,-1,0)),IF(E$8&lt;$K57,IF(OFFSET(E57,-1,0)="","ERR",OFFSET(E57,-1,0)),""))</f>
        <v/>
      </c>
      <c r="F57" s="11">
        <f>IF($K57=F$8,1+IF(OFFSET(F57,-1,0)="",0,OFFSET(F57,-1,0)),IF(F$8&lt;$K57,IF(OFFSET(F57,-1,0)="","ERR",OFFSET(F57,-1,0)),""))</f>
        <v/>
      </c>
      <c r="G57" s="11">
        <f>IF($K57=G$8,1+IF(OFFSET(G57,-1,0)="",0,OFFSET(G57,-1,0)),IF(G$8&lt;$K57,IF(OFFSET(G57,-1,0)="","ERR",OFFSET(G57,-1,0)),""))</f>
        <v/>
      </c>
      <c r="H57" s="11">
        <f>IF($K57=H$8,1+IF(OFFSET(H57,-1,0)="",0,OFFSET(H57,-1,0)),IF(H$8&lt;$K57,IF(OFFSET(H57,-1,0)="","ERR",OFFSET(H57,-1,0)),""))</f>
        <v/>
      </c>
      <c r="I57" s="11">
        <f>IF($K57=I$8,1+IF(OFFSET(I57,-1,0)="",0,OFFSET(I57,-1,0)),IF(I$8&lt;$K57,IF(OFFSET(I57,-1,0)="","ERR",OFFSET(I57,-1,0)),""))</f>
        <v/>
      </c>
      <c r="J57" s="52">
        <f>_xlfn.TEXTJOIN(".",1,B57:I57)</f>
        <v/>
      </c>
      <c r="K57" s="52" t="inlineStr">
        <is>
          <t>Л7</t>
        </is>
      </c>
      <c r="L57" s="52" t="n"/>
      <c r="M5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57" s="52" t="inlineStr">
        <is>
          <t>шт.</t>
        </is>
      </c>
      <c r="O57" s="73">
        <f>P57+Q57+S57+V57</f>
        <v/>
      </c>
      <c r="P57" s="52" t="n"/>
      <c r="Q57" s="52" t="n">
        <v>1</v>
      </c>
      <c r="R57" s="52" t="n">
        <v>1</v>
      </c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4" t="n"/>
      <c r="AB57" s="179" t="n"/>
      <c r="AC57" s="189" t="n"/>
      <c r="AD57" s="189">
        <f>SUM(AB57:AC57)</f>
        <v/>
      </c>
      <c r="AE57" s="189">
        <f>AB57*$O57</f>
        <v/>
      </c>
      <c r="AF57" s="189">
        <f>AC57*$O57</f>
        <v/>
      </c>
      <c r="AG57" s="189">
        <f>SUM(AE57:AF57)</f>
        <v/>
      </c>
      <c r="AH57" s="182" t="n"/>
    </row>
    <row r="58" outlineLevel="1">
      <c r="A58" s="18" t="inlineStr">
        <is>
          <t>О</t>
        </is>
      </c>
      <c r="B58" s="11">
        <f>IF($K58=B$8,1+IF(OFFSET(B58,-1,0)="",0,OFFSET(B58,-1,0)),IF(B$8&lt;$K58,IF(OFFSET(B58,-1,0)="","ERR",OFFSET(B58,-1,0)),""))</f>
        <v/>
      </c>
      <c r="C58" s="11">
        <f>IF($K58=C$8,1+IF(OFFSET(C58,-1,0)="",0,OFFSET(C58,-1,0)),IF(C$8&lt;$K58,IF(OFFSET(C58,-1,0)="","ERR",OFFSET(C58,-1,0)),""))</f>
        <v/>
      </c>
      <c r="D58" s="11">
        <f>IF($K58=D$8,1+IF(OFFSET(D58,-1,0)="",0,OFFSET(D58,-1,0)),IF(D$8&lt;$K58,IF(OFFSET(D58,-1,0)="","ERR",OFFSET(D58,-1,0)),""))</f>
        <v/>
      </c>
      <c r="E58" s="11">
        <f>IF($K58=E$8,1+IF(OFFSET(E58,-1,0)="",0,OFFSET(E58,-1,0)),IF(E$8&lt;$K58,IF(OFFSET(E58,-1,0)="","ERR",OFFSET(E58,-1,0)),""))</f>
        <v/>
      </c>
      <c r="F58" s="11">
        <f>IF($K58=F$8,1+IF(OFFSET(F58,-1,0)="",0,OFFSET(F58,-1,0)),IF(F$8&lt;$K58,IF(OFFSET(F58,-1,0)="","ERR",OFFSET(F58,-1,0)),""))</f>
        <v/>
      </c>
      <c r="G58" s="11">
        <f>IF($K58=G$8,1+IF(OFFSET(G58,-1,0)="",0,OFFSET(G58,-1,0)),IF(G$8&lt;$K58,IF(OFFSET(G58,-1,0)="","ERR",OFFSET(G58,-1,0)),""))</f>
        <v/>
      </c>
      <c r="H58" s="11">
        <f>IF($K58=H$8,1+IF(OFFSET(H58,-1,0)="",0,OFFSET(H58,-1,0)),IF(H$8&lt;$K58,IF(OFFSET(H58,-1,0)="","ERR",OFFSET(H58,-1,0)),""))</f>
        <v/>
      </c>
      <c r="I58" s="11">
        <f>IF($K58=I$8,1+IF(OFFSET(I58,-1,0)="",0,OFFSET(I58,-1,0)),IF(I$8&lt;$K58,IF(OFFSET(I58,-1,0)="","ERR",OFFSET(I58,-1,0)),""))</f>
        <v/>
      </c>
      <c r="J58" s="46">
        <f>_xlfn.TEXTJOIN(".",1,B58:I58)</f>
        <v/>
      </c>
      <c r="K58" s="46" t="inlineStr">
        <is>
          <t>Л7</t>
        </is>
      </c>
      <c r="L58" s="46" t="n"/>
      <c r="M58" s="47" t="inlineStr">
        <is>
          <t>Кабельный органайзер 19" 1U, ГКО-4.62-9005, ТМ «ЦМО»</t>
        </is>
      </c>
      <c r="N58" s="46" t="inlineStr">
        <is>
          <t>шт.</t>
        </is>
      </c>
      <c r="O58" s="94">
        <f>P58+Q58+S58+V58</f>
        <v/>
      </c>
      <c r="P58" s="46" t="n"/>
      <c r="Q58" s="46" t="n">
        <v>3</v>
      </c>
      <c r="R58" s="46" t="n">
        <v>3</v>
      </c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8" t="n"/>
      <c r="AB58" s="179" t="n"/>
      <c r="AC58" s="189" t="n"/>
      <c r="AD58" s="189">
        <f>SUM(AB58:AC58)</f>
        <v/>
      </c>
      <c r="AE58" s="189">
        <f>AB58*$O58</f>
        <v/>
      </c>
      <c r="AF58" s="189">
        <f>AC58*$O58</f>
        <v/>
      </c>
      <c r="AG58" s="189">
        <f>SUM(AE58:AF58)</f>
        <v/>
      </c>
      <c r="AH58" s="182" t="n"/>
    </row>
    <row r="59" outlineLevel="1" ht="25.5" customHeight="1">
      <c r="A59" s="18" t="inlineStr">
        <is>
          <t>О</t>
        </is>
      </c>
      <c r="B59" s="11">
        <f>IF($K59=B$8,1+IF(OFFSET(B59,-1,0)="",0,OFFSET(B59,-1,0)),IF(B$8&lt;$K59,IF(OFFSET(B59,-1,0)="","ERR",OFFSET(B59,-1,0)),""))</f>
        <v/>
      </c>
      <c r="C59" s="11">
        <f>IF($K59=C$8,1+IF(OFFSET(C59,-1,0)="",0,OFFSET(C59,-1,0)),IF(C$8&lt;$K59,IF(OFFSET(C59,-1,0)="","ERR",OFFSET(C59,-1,0)),""))</f>
        <v/>
      </c>
      <c r="D59" s="11">
        <f>IF($K59=D$8,1+IF(OFFSET(D59,-1,0)="",0,OFFSET(D59,-1,0)),IF(D$8&lt;$K59,IF(OFFSET(D59,-1,0)="","ERR",OFFSET(D59,-1,0)),""))</f>
        <v/>
      </c>
      <c r="E59" s="11">
        <f>IF($K59=E$8,1+IF(OFFSET(E59,-1,0)="",0,OFFSET(E59,-1,0)),IF(E$8&lt;$K59,IF(OFFSET(E59,-1,0)="","ERR",OFFSET(E59,-1,0)),""))</f>
        <v/>
      </c>
      <c r="F59" s="11">
        <f>IF($K59=F$8,1+IF(OFFSET(F59,-1,0)="",0,OFFSET(F59,-1,0)),IF(F$8&lt;$K59,IF(OFFSET(F59,-1,0)="","ERR",OFFSET(F59,-1,0)),""))</f>
        <v/>
      </c>
      <c r="G59" s="11">
        <f>IF($K59=G$8,1+IF(OFFSET(G59,-1,0)="",0,OFFSET(G59,-1,0)),IF(G$8&lt;$K59,IF(OFFSET(G59,-1,0)="","ERR",OFFSET(G59,-1,0)),""))</f>
        <v/>
      </c>
      <c r="H59" s="11">
        <f>IF($K59=H$8,1+IF(OFFSET(H59,-1,0)="",0,OFFSET(H59,-1,0)),IF(H$8&lt;$K59,IF(OFFSET(H59,-1,0)="","ERR",OFFSET(H59,-1,0)),""))</f>
        <v/>
      </c>
      <c r="I59" s="11">
        <f>IF($K59=I$8,1+IF(OFFSET(I59,-1,0)="",0,OFFSET(I59,-1,0)),IF(I$8&lt;$K59,IF(OFFSET(I59,-1,0)="","ERR",OFFSET(I59,-1,0)),""))</f>
        <v/>
      </c>
      <c r="J59" s="49">
        <f>_xlfn.TEXTJOIN(".",1,B59:I59)</f>
        <v/>
      </c>
      <c r="K59" s="49" t="inlineStr">
        <is>
          <t>Л7</t>
        </is>
      </c>
      <c r="L59" s="49" t="n"/>
      <c r="M5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59" s="49" t="inlineStr">
        <is>
          <t>шт.</t>
        </is>
      </c>
      <c r="O59" s="50">
        <f>P59+Q59+S59+V59</f>
        <v/>
      </c>
      <c r="P59" s="49" t="n"/>
      <c r="Q59" s="49" t="n">
        <v>1</v>
      </c>
      <c r="R59" s="49" t="n">
        <v>1</v>
      </c>
      <c r="S59" s="49" t="n"/>
      <c r="T59" s="49" t="n"/>
      <c r="U59" s="49" t="n"/>
      <c r="V59" s="49" t="n"/>
      <c r="W59" s="50" t="n">
        <v>1</v>
      </c>
      <c r="X59" s="26" t="n">
        <v>5040070405</v>
      </c>
      <c r="Y59" s="26" t="n">
        <v>772201001</v>
      </c>
      <c r="Z59" s="26" t="inlineStr">
        <is>
          <t>ООО "ЛУИС+"</t>
        </is>
      </c>
      <c r="AA59" s="51" t="inlineStr">
        <is>
          <t>ГТ</t>
        </is>
      </c>
      <c r="AB59" s="188" t="n"/>
      <c r="AC59" s="189" t="n"/>
      <c r="AD59" s="190">
        <f>SUM(AB59:AC59)</f>
        <v/>
      </c>
      <c r="AE59" s="190">
        <f>AB59*$O59*$W59</f>
        <v/>
      </c>
      <c r="AF59" s="190">
        <f>AC59*$O59*$W59</f>
        <v/>
      </c>
      <c r="AG59" s="190">
        <f>SUM(AE59:AF59)</f>
        <v/>
      </c>
      <c r="AH59" s="182" t="n"/>
    </row>
    <row r="60" outlineLevel="1" ht="25.5" customHeight="1">
      <c r="A60" s="18" t="inlineStr">
        <is>
          <t>О</t>
        </is>
      </c>
      <c r="B60" s="11">
        <f>IF($K60=B$8,1+IF(OFFSET(B60,-1,0)="",0,OFFSET(B60,-1,0)),IF(B$8&lt;$K60,IF(OFFSET(B60,-1,0)="","ERR",OFFSET(B60,-1,0)),""))</f>
        <v/>
      </c>
      <c r="C60" s="11">
        <f>IF($K60=C$8,1+IF(OFFSET(C60,-1,0)="",0,OFFSET(C60,-1,0)),IF(C$8&lt;$K60,IF(OFFSET(C60,-1,0)="","ERR",OFFSET(C60,-1,0)),""))</f>
        <v/>
      </c>
      <c r="D60" s="11">
        <f>IF($K60=D$8,1+IF(OFFSET(D60,-1,0)="",0,OFFSET(D60,-1,0)),IF(D$8&lt;$K60,IF(OFFSET(D60,-1,0)="","ERR",OFFSET(D60,-1,0)),""))</f>
        <v/>
      </c>
      <c r="E60" s="11">
        <f>IF($K60=E$8,1+IF(OFFSET(E60,-1,0)="",0,OFFSET(E60,-1,0)),IF(E$8&lt;$K60,IF(OFFSET(E60,-1,0)="","ERR",OFFSET(E60,-1,0)),""))</f>
        <v/>
      </c>
      <c r="F60" s="11">
        <f>IF($K60=F$8,1+IF(OFFSET(F60,-1,0)="",0,OFFSET(F60,-1,0)),IF(F$8&lt;$K60,IF(OFFSET(F60,-1,0)="","ERR",OFFSET(F60,-1,0)),""))</f>
        <v/>
      </c>
      <c r="G60" s="11">
        <f>IF($K60=G$8,1+IF(OFFSET(G60,-1,0)="",0,OFFSET(G60,-1,0)),IF(G$8&lt;$K60,IF(OFFSET(G60,-1,0)="","ERR",OFFSET(G60,-1,0)),""))</f>
        <v/>
      </c>
      <c r="H60" s="11">
        <f>IF($K60=H$8,1+IF(OFFSET(H60,-1,0)="",0,OFFSET(H60,-1,0)),IF(H$8&lt;$K60,IF(OFFSET(H60,-1,0)="","ERR",OFFSET(H60,-1,0)),""))</f>
        <v/>
      </c>
      <c r="I60" s="11">
        <f>IF($K60=I$8,1+IF(OFFSET(I60,-1,0)="",0,OFFSET(I60,-1,0)),IF(I$8&lt;$K60,IF(OFFSET(I60,-1,0)="","ERR",OFFSET(I60,-1,0)),""))</f>
        <v/>
      </c>
      <c r="J60" s="49">
        <f>_xlfn.TEXTJOIN(".",1,B60:I60)</f>
        <v/>
      </c>
      <c r="K60" s="49" t="inlineStr">
        <is>
          <t>Л7</t>
        </is>
      </c>
      <c r="L60" s="49" t="n"/>
      <c r="M60" s="63" t="inlineStr">
        <is>
          <t>L2 коммутатор с 24 портами PoE 100 Мбит/с и 2 портами combo Uplink 1000 Мбит/с RJ-45/SFP, LTV-3S24G4C-MP, LTV</t>
        </is>
      </c>
      <c r="N60" s="49" t="inlineStr">
        <is>
          <t>шт.</t>
        </is>
      </c>
      <c r="O60" s="50">
        <f>P60+Q60+S60+V60</f>
        <v/>
      </c>
      <c r="P60" s="49" t="n"/>
      <c r="Q60" s="49" t="n">
        <v>1</v>
      </c>
      <c r="R60" s="49" t="n">
        <v>1</v>
      </c>
      <c r="S60" s="49" t="n"/>
      <c r="T60" s="49" t="n"/>
      <c r="U60" s="49" t="n"/>
      <c r="V60" s="49" t="n"/>
      <c r="W60" s="50" t="n">
        <v>1</v>
      </c>
      <c r="X60" s="26" t="n">
        <v>5040070405</v>
      </c>
      <c r="Y60" s="26" t="n">
        <v>772201001</v>
      </c>
      <c r="Z60" s="26" t="inlineStr">
        <is>
          <t>ООО "ЛУИС+"</t>
        </is>
      </c>
      <c r="AA60" s="51" t="inlineStr">
        <is>
          <t>ГТ</t>
        </is>
      </c>
      <c r="AB60" s="188" t="n"/>
      <c r="AC60" s="189" t="n"/>
      <c r="AD60" s="190">
        <f>SUM(AB60:AC60)</f>
        <v/>
      </c>
      <c r="AE60" s="190">
        <f>AB60*$O60*$W60</f>
        <v/>
      </c>
      <c r="AF60" s="190">
        <f>AC60*$O60*$W60</f>
        <v/>
      </c>
      <c r="AG60" s="190">
        <f>SUM(AE60:AF60)</f>
        <v/>
      </c>
      <c r="AH60" s="182" t="n"/>
    </row>
    <row r="61" outlineLevel="1">
      <c r="A61" s="18" t="inlineStr">
        <is>
          <t>О</t>
        </is>
      </c>
      <c r="B61" s="11">
        <f>IF($K61=B$8,1+IF(OFFSET(B61,-1,0)="",0,OFFSET(B61,-1,0)),IF(B$8&lt;$K61,IF(OFFSET(B61,-1,0)="","ERR",OFFSET(B61,-1,0)),""))</f>
        <v/>
      </c>
      <c r="C61" s="11">
        <f>IF($K61=C$8,1+IF(OFFSET(C61,-1,0)="",0,OFFSET(C61,-1,0)),IF(C$8&lt;$K61,IF(OFFSET(C61,-1,0)="","ERR",OFFSET(C61,-1,0)),""))</f>
        <v/>
      </c>
      <c r="D61" s="11">
        <f>IF($K61=D$8,1+IF(OFFSET(D61,-1,0)="",0,OFFSET(D61,-1,0)),IF(D$8&lt;$K61,IF(OFFSET(D61,-1,0)="","ERR",OFFSET(D61,-1,0)),""))</f>
        <v/>
      </c>
      <c r="E61" s="11">
        <f>IF($K61=E$8,1+IF(OFFSET(E61,-1,0)="",0,OFFSET(E61,-1,0)),IF(E$8&lt;$K61,IF(OFFSET(E61,-1,0)="","ERR",OFFSET(E61,-1,0)),""))</f>
        <v/>
      </c>
      <c r="F61" s="11">
        <f>IF($K61=F$8,1+IF(OFFSET(F61,-1,0)="",0,OFFSET(F61,-1,0)),IF(F$8&lt;$K61,IF(OFFSET(F61,-1,0)="","ERR",OFFSET(F61,-1,0)),""))</f>
        <v/>
      </c>
      <c r="G61" s="11">
        <f>IF($K61=G$8,1+IF(OFFSET(G61,-1,0)="",0,OFFSET(G61,-1,0)),IF(G$8&lt;$K61,IF(OFFSET(G61,-1,0)="","ERR",OFFSET(G61,-1,0)),""))</f>
        <v/>
      </c>
      <c r="H61" s="11">
        <f>IF($K61=H$8,1+IF(OFFSET(H61,-1,0)="",0,OFFSET(H61,-1,0)),IF(H$8&lt;$K61,IF(OFFSET(H61,-1,0)="","ERR",OFFSET(H61,-1,0)),""))</f>
        <v/>
      </c>
      <c r="I61" s="11">
        <f>IF($K61=I$8,1+IF(OFFSET(I61,-1,0)="",0,OFFSET(I61,-1,0)),IF(I$8&lt;$K61,IF(OFFSET(I61,-1,0)="","ERR",OFFSET(I61,-1,0)),""))</f>
        <v/>
      </c>
      <c r="J61" s="46">
        <f>_xlfn.TEXTJOIN(".",1,B61:I61)</f>
        <v/>
      </c>
      <c r="K61" s="46" t="inlineStr">
        <is>
          <t>Л7</t>
        </is>
      </c>
      <c r="L61" s="46" t="n"/>
      <c r="M61" s="47" t="inlineStr">
        <is>
          <t>Патч-панель 19" (1U), 24 порта RJ-45, категория 6, DUAL, PL-24-Cat.6-Dual, Cabeus</t>
        </is>
      </c>
      <c r="N61" s="46" t="inlineStr">
        <is>
          <t>шт.</t>
        </is>
      </c>
      <c r="O61" s="94">
        <f>P61+Q61+S61+V61</f>
        <v/>
      </c>
      <c r="P61" s="46" t="n"/>
      <c r="Q61" s="46" t="n">
        <v>1</v>
      </c>
      <c r="R61" s="46" t="n">
        <v>1</v>
      </c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8" t="n"/>
      <c r="AB61" s="179" t="n"/>
      <c r="AC61" s="189" t="n"/>
      <c r="AD61" s="189">
        <f>SUM(AB61:AC61)</f>
        <v/>
      </c>
      <c r="AE61" s="189">
        <f>AB61*$O61</f>
        <v/>
      </c>
      <c r="AF61" s="189">
        <f>AC61*$O61</f>
        <v/>
      </c>
      <c r="AG61" s="189">
        <f>SUM(AE61:AF61)</f>
        <v/>
      </c>
      <c r="AH61" s="182" t="n"/>
    </row>
    <row r="62" outlineLevel="1">
      <c r="A62" s="18" t="inlineStr">
        <is>
          <t>О</t>
        </is>
      </c>
      <c r="B62" s="11">
        <f>IF($K62=B$8,1+IF(OFFSET(B62,-1,0)="",0,OFFSET(B62,-1,0)),IF(B$8&lt;$K62,IF(OFFSET(B62,-1,0)="","ERR",OFFSET(B62,-1,0)),""))</f>
        <v/>
      </c>
      <c r="C62" s="11">
        <f>IF($K62=C$8,1+IF(OFFSET(C62,-1,0)="",0,OFFSET(C62,-1,0)),IF(C$8&lt;$K62,IF(OFFSET(C62,-1,0)="","ERR",OFFSET(C62,-1,0)),""))</f>
        <v/>
      </c>
      <c r="D62" s="11">
        <f>IF($K62=D$8,1+IF(OFFSET(D62,-1,0)="",0,OFFSET(D62,-1,0)),IF(D$8&lt;$K62,IF(OFFSET(D62,-1,0)="","ERR",OFFSET(D62,-1,0)),""))</f>
        <v/>
      </c>
      <c r="E62" s="11">
        <f>IF($K62=E$8,1+IF(OFFSET(E62,-1,0)="",0,OFFSET(E62,-1,0)),IF(E$8&lt;$K62,IF(OFFSET(E62,-1,0)="","ERR",OFFSET(E62,-1,0)),""))</f>
        <v/>
      </c>
      <c r="F62" s="11">
        <f>IF($K62=F$8,1+IF(OFFSET(F62,-1,0)="",0,OFFSET(F62,-1,0)),IF(F$8&lt;$K62,IF(OFFSET(F62,-1,0)="","ERR",OFFSET(F62,-1,0)),""))</f>
        <v/>
      </c>
      <c r="G62" s="11">
        <f>IF($K62=G$8,1+IF(OFFSET(G62,-1,0)="",0,OFFSET(G62,-1,0)),IF(G$8&lt;$K62,IF(OFFSET(G62,-1,0)="","ERR",OFFSET(G62,-1,0)),""))</f>
        <v/>
      </c>
      <c r="H62" s="11">
        <f>IF($K62=H$8,1+IF(OFFSET(H62,-1,0)="",0,OFFSET(H62,-1,0)),IF(H$8&lt;$K62,IF(OFFSET(H62,-1,0)="","ERR",OFFSET(H62,-1,0)),""))</f>
        <v/>
      </c>
      <c r="I62" s="11">
        <f>IF($K62=I$8,1+IF(OFFSET(I62,-1,0)="",0,OFFSET(I62,-1,0)),IF(I$8&lt;$K62,IF(OFFSET(I62,-1,0)="","ERR",OFFSET(I62,-1,0)),""))</f>
        <v/>
      </c>
      <c r="J62" s="46">
        <f>_xlfn.TEXTJOIN(".",1,B62:I62)</f>
        <v/>
      </c>
      <c r="K62" s="46" t="inlineStr">
        <is>
          <t>Л7</t>
        </is>
      </c>
      <c r="L62" s="46" t="n"/>
      <c r="M62" s="47" t="inlineStr">
        <is>
          <t>Розетка на DIN-рейку с защитным контактом, 16А, 2P, 220В, IP20, РМ-102 16А, Systeme Electric</t>
        </is>
      </c>
      <c r="N62" s="46" t="inlineStr">
        <is>
          <t>шт.</t>
        </is>
      </c>
      <c r="O62" s="94">
        <f>P62+Q62+S62+V62</f>
        <v/>
      </c>
      <c r="P62" s="46" t="n"/>
      <c r="Q62" s="46" t="n">
        <v>4</v>
      </c>
      <c r="R62" s="46" t="n">
        <v>4</v>
      </c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8" t="n"/>
      <c r="AB62" s="179" t="n"/>
      <c r="AC62" s="189" t="n"/>
      <c r="AD62" s="189">
        <f>SUM(AB62:AC62)</f>
        <v/>
      </c>
      <c r="AE62" s="189">
        <f>AB62*$O62</f>
        <v/>
      </c>
      <c r="AF62" s="189">
        <f>AC62*$O62</f>
        <v/>
      </c>
      <c r="AG62" s="189">
        <f>SUM(AE62:AF62)</f>
        <v/>
      </c>
      <c r="AH62" s="182" t="n"/>
    </row>
    <row r="63" outlineLevel="1">
      <c r="A63" s="18" t="inlineStr">
        <is>
          <t>О</t>
        </is>
      </c>
      <c r="B63" s="11">
        <f>IF($K63=B$8,1+IF(OFFSET(B63,-1,0)="",0,OFFSET(B63,-1,0)),IF(B$8&lt;$K63,IF(OFFSET(B63,-1,0)="","ERR",OFFSET(B63,-1,0)),""))</f>
        <v/>
      </c>
      <c r="C63" s="11">
        <f>IF($K63=C$8,1+IF(OFFSET(C63,-1,0)="",0,OFFSET(C63,-1,0)),IF(C$8&lt;$K63,IF(OFFSET(C63,-1,0)="","ERR",OFFSET(C63,-1,0)),""))</f>
        <v/>
      </c>
      <c r="D63" s="11">
        <f>IF($K63=D$8,1+IF(OFFSET(D63,-1,0)="",0,OFFSET(D63,-1,0)),IF(D$8&lt;$K63,IF(OFFSET(D63,-1,0)="","ERR",OFFSET(D63,-1,0)),""))</f>
        <v/>
      </c>
      <c r="E63" s="11">
        <f>IF($K63=E$8,1+IF(OFFSET(E63,-1,0)="",0,OFFSET(E63,-1,0)),IF(E$8&lt;$K63,IF(OFFSET(E63,-1,0)="","ERR",OFFSET(E63,-1,0)),""))</f>
        <v/>
      </c>
      <c r="F63" s="11">
        <f>IF($K63=F$8,1+IF(OFFSET(F63,-1,0)="",0,OFFSET(F63,-1,0)),IF(F$8&lt;$K63,IF(OFFSET(F63,-1,0)="","ERR",OFFSET(F63,-1,0)),""))</f>
        <v/>
      </c>
      <c r="G63" s="11">
        <f>IF($K63=G$8,1+IF(OFFSET(G63,-1,0)="",0,OFFSET(G63,-1,0)),IF(G$8&lt;$K63,IF(OFFSET(G63,-1,0)="","ERR",OFFSET(G63,-1,0)),""))</f>
        <v/>
      </c>
      <c r="H63" s="11">
        <f>IF($K63=H$8,1+IF(OFFSET(H63,-1,0)="",0,OFFSET(H63,-1,0)),IF(H$8&lt;$K63,IF(OFFSET(H63,-1,0)="","ERR",OFFSET(H63,-1,0)),""))</f>
        <v/>
      </c>
      <c r="I63" s="11">
        <f>IF($K63=I$8,1+IF(OFFSET(I63,-1,0)="",0,OFFSET(I63,-1,0)),IF(I$8&lt;$K63,IF(OFFSET(I63,-1,0)="","ERR",OFFSET(I63,-1,0)),""))</f>
        <v/>
      </c>
      <c r="J63" s="46">
        <f>_xlfn.TEXTJOIN(".",1,B63:I63)</f>
        <v/>
      </c>
      <c r="K63" s="46" t="inlineStr">
        <is>
          <t>Л7</t>
        </is>
      </c>
      <c r="L63" s="46" t="n"/>
      <c r="M63" s="47" t="inlineStr">
        <is>
          <t>Реле контроля однофазного напряжения на DIN-рейку, 1P, 12663, Systeme Electric</t>
        </is>
      </c>
      <c r="N63" s="46" t="inlineStr">
        <is>
          <t>шт.</t>
        </is>
      </c>
      <c r="O63" s="94">
        <f>P63+Q63+S63+V63</f>
        <v/>
      </c>
      <c r="P63" s="46" t="n"/>
      <c r="Q63" s="46" t="n">
        <v>1</v>
      </c>
      <c r="R63" s="46" t="n">
        <v>1</v>
      </c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8" t="n"/>
      <c r="AB63" s="179" t="n"/>
      <c r="AC63" s="189" t="n"/>
      <c r="AD63" s="189">
        <f>SUM(AB63:AC63)</f>
        <v/>
      </c>
      <c r="AE63" s="189">
        <f>AB63*$O63</f>
        <v/>
      </c>
      <c r="AF63" s="189">
        <f>AC63*$O63</f>
        <v/>
      </c>
      <c r="AG63" s="189">
        <f>SUM(AE63:AF63)</f>
        <v/>
      </c>
      <c r="AH63" s="182" t="n"/>
    </row>
    <row r="64" outlineLevel="1">
      <c r="A64" s="18" t="inlineStr">
        <is>
          <t>О</t>
        </is>
      </c>
      <c r="B64" s="11">
        <f>IF($K64=B$8,1+IF(OFFSET(B64,-1,0)="",0,OFFSET(B64,-1,0)),IF(B$8&lt;$K64,IF(OFFSET(B64,-1,0)="","ERR",OFFSET(B64,-1,0)),""))</f>
        <v/>
      </c>
      <c r="C64" s="11">
        <f>IF($K64=C$8,1+IF(OFFSET(C64,-1,0)="",0,OFFSET(C64,-1,0)),IF(C$8&lt;$K64,IF(OFFSET(C64,-1,0)="","ERR",OFFSET(C64,-1,0)),""))</f>
        <v/>
      </c>
      <c r="D64" s="11">
        <f>IF($K64=D$8,1+IF(OFFSET(D64,-1,0)="",0,OFFSET(D64,-1,0)),IF(D$8&lt;$K64,IF(OFFSET(D64,-1,0)="","ERR",OFFSET(D64,-1,0)),""))</f>
        <v/>
      </c>
      <c r="E64" s="11">
        <f>IF($K64=E$8,1+IF(OFFSET(E64,-1,0)="",0,OFFSET(E64,-1,0)),IF(E$8&lt;$K64,IF(OFFSET(E64,-1,0)="","ERR",OFFSET(E64,-1,0)),""))</f>
        <v/>
      </c>
      <c r="F64" s="11">
        <f>IF($K64=F$8,1+IF(OFFSET(F64,-1,0)="",0,OFFSET(F64,-1,0)),IF(F$8&lt;$K64,IF(OFFSET(F64,-1,0)="","ERR",OFFSET(F64,-1,0)),""))</f>
        <v/>
      </c>
      <c r="G64" s="11">
        <f>IF($K64=G$8,1+IF(OFFSET(G64,-1,0)="",0,OFFSET(G64,-1,0)),IF(G$8&lt;$K64,IF(OFFSET(G64,-1,0)="","ERR",OFFSET(G64,-1,0)),""))</f>
        <v/>
      </c>
      <c r="H64" s="11">
        <f>IF($K64=H$8,1+IF(OFFSET(H64,-1,0)="",0,OFFSET(H64,-1,0)),IF(H$8&lt;$K64,IF(OFFSET(H64,-1,0)="","ERR",OFFSET(H64,-1,0)),""))</f>
        <v/>
      </c>
      <c r="I64" s="11">
        <f>IF($K64=I$8,1+IF(OFFSET(I64,-1,0)="",0,OFFSET(I64,-1,0)),IF(I$8&lt;$K64,IF(OFFSET(I64,-1,0)="","ERR",OFFSET(I64,-1,0)),""))</f>
        <v/>
      </c>
      <c r="J64" s="46">
        <f>_xlfn.TEXTJOIN(".",1,B64:I64)</f>
        <v/>
      </c>
      <c r="K64" s="46" t="inlineStr">
        <is>
          <t>Л7</t>
        </is>
      </c>
      <c r="L64" s="46" t="n"/>
      <c r="M64" s="47" t="inlineStr">
        <is>
          <t>Выключатель автоматический на DIN-рейку, 16А, C, 1P, 1- модульный, C9F14116, Systeme Electric</t>
        </is>
      </c>
      <c r="N64" s="46" t="inlineStr">
        <is>
          <t>шт.</t>
        </is>
      </c>
      <c r="O64" s="94">
        <f>P64+Q64+S64+V64</f>
        <v/>
      </c>
      <c r="P64" s="46" t="n"/>
      <c r="Q64" s="46" t="n">
        <v>1</v>
      </c>
      <c r="R64" s="46" t="n">
        <v>1</v>
      </c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8" t="n"/>
      <c r="AB64" s="179" t="n"/>
      <c r="AC64" s="189" t="n"/>
      <c r="AD64" s="189">
        <f>SUM(AB64:AC64)</f>
        <v/>
      </c>
      <c r="AE64" s="189">
        <f>AB64*$O64</f>
        <v/>
      </c>
      <c r="AF64" s="189">
        <f>AC64*$O64</f>
        <v/>
      </c>
      <c r="AG64" s="189">
        <f>SUM(AE64:AF64)</f>
        <v/>
      </c>
      <c r="AH64" s="182" t="n"/>
    </row>
    <row r="65" outlineLevel="1">
      <c r="A65" s="18" t="inlineStr">
        <is>
          <t>О</t>
        </is>
      </c>
      <c r="B65" s="11">
        <f>IF($K65=B$8,1+IF(OFFSET(B65,-1,0)="",0,OFFSET(B65,-1,0)),IF(B$8&lt;$K65,IF(OFFSET(B65,-1,0)="","ERR",OFFSET(B65,-1,0)),""))</f>
        <v/>
      </c>
      <c r="C65" s="11">
        <f>IF($K65=C$8,1+IF(OFFSET(C65,-1,0)="",0,OFFSET(C65,-1,0)),IF(C$8&lt;$K65,IF(OFFSET(C65,-1,0)="","ERR",OFFSET(C65,-1,0)),""))</f>
        <v/>
      </c>
      <c r="D65" s="11">
        <f>IF($K65=D$8,1+IF(OFFSET(D65,-1,0)="",0,OFFSET(D65,-1,0)),IF(D$8&lt;$K65,IF(OFFSET(D65,-1,0)="","ERR",OFFSET(D65,-1,0)),""))</f>
        <v/>
      </c>
      <c r="E65" s="11">
        <f>IF($K65=E$8,1+IF(OFFSET(E65,-1,0)="",0,OFFSET(E65,-1,0)),IF(E$8&lt;$K65,IF(OFFSET(E65,-1,0)="","ERR",OFFSET(E65,-1,0)),""))</f>
        <v/>
      </c>
      <c r="F65" s="11">
        <f>IF($K65=F$8,1+IF(OFFSET(F65,-1,0)="",0,OFFSET(F65,-1,0)),IF(F$8&lt;$K65,IF(OFFSET(F65,-1,0)="","ERR",OFFSET(F65,-1,0)),""))</f>
        <v/>
      </c>
      <c r="G65" s="11">
        <f>IF($K65=G$8,1+IF(OFFSET(G65,-1,0)="",0,OFFSET(G65,-1,0)),IF(G$8&lt;$K65,IF(OFFSET(G65,-1,0)="","ERR",OFFSET(G65,-1,0)),""))</f>
        <v/>
      </c>
      <c r="H65" s="11">
        <f>IF($K65=H$8,1+IF(OFFSET(H65,-1,0)="",0,OFFSET(H65,-1,0)),IF(H$8&lt;$K65,IF(OFFSET(H65,-1,0)="","ERR",OFFSET(H65,-1,0)),""))</f>
        <v/>
      </c>
      <c r="I65" s="11">
        <f>IF($K65=I$8,1+IF(OFFSET(I65,-1,0)="",0,OFFSET(I65,-1,0)),IF(I$8&lt;$K65,IF(OFFSET(I65,-1,0)="","ERR",OFFSET(I65,-1,0)),""))</f>
        <v/>
      </c>
      <c r="J65" s="46">
        <f>_xlfn.TEXTJOIN(".",1,B65:I65)</f>
        <v/>
      </c>
      <c r="K65" s="46" t="inlineStr">
        <is>
          <t>Л7</t>
        </is>
      </c>
      <c r="L65" s="46" t="n"/>
      <c r="M65" s="47" t="inlineStr">
        <is>
          <t>Клеммник винтовой на DIN-рейку, NSYTRV22, Systeme Electric</t>
        </is>
      </c>
      <c r="N65" s="46" t="inlineStr">
        <is>
          <t>шт.</t>
        </is>
      </c>
      <c r="O65" s="94">
        <f>P65+Q65+S65+V65</f>
        <v/>
      </c>
      <c r="P65" s="46" t="n"/>
      <c r="Q65" s="46" t="n">
        <v>2</v>
      </c>
      <c r="R65" s="46" t="n">
        <v>2</v>
      </c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8" t="n"/>
      <c r="AB65" s="179" t="n"/>
      <c r="AC65" s="189" t="n"/>
      <c r="AD65" s="189">
        <f>SUM(AB65:AC65)</f>
        <v/>
      </c>
      <c r="AE65" s="189">
        <f>AB65*$O65</f>
        <v/>
      </c>
      <c r="AF65" s="189">
        <f>AC65*$O65</f>
        <v/>
      </c>
      <c r="AG65" s="189">
        <f>SUM(AE65:AF65)</f>
        <v/>
      </c>
      <c r="AH65" s="182" t="n"/>
    </row>
    <row r="66" outlineLevel="1">
      <c r="A66" s="18" t="inlineStr">
        <is>
          <t>О</t>
        </is>
      </c>
      <c r="B66" s="11">
        <f>IF($K66=B$8,1+IF(OFFSET(B66,-1,0)="",0,OFFSET(B66,-1,0)),IF(B$8&lt;$K66,IF(OFFSET(B66,-1,0)="","ERR",OFFSET(B66,-1,0)),""))</f>
        <v/>
      </c>
      <c r="C66" s="11">
        <f>IF($K66=C$8,1+IF(OFFSET(C66,-1,0)="",0,OFFSET(C66,-1,0)),IF(C$8&lt;$K66,IF(OFFSET(C66,-1,0)="","ERR",OFFSET(C66,-1,0)),""))</f>
        <v/>
      </c>
      <c r="D66" s="11">
        <f>IF($K66=D$8,1+IF(OFFSET(D66,-1,0)="",0,OFFSET(D66,-1,0)),IF(D$8&lt;$K66,IF(OFFSET(D66,-1,0)="","ERR",OFFSET(D66,-1,0)),""))</f>
        <v/>
      </c>
      <c r="E66" s="11">
        <f>IF($K66=E$8,1+IF(OFFSET(E66,-1,0)="",0,OFFSET(E66,-1,0)),IF(E$8&lt;$K66,IF(OFFSET(E66,-1,0)="","ERR",OFFSET(E66,-1,0)),""))</f>
        <v/>
      </c>
      <c r="F66" s="11">
        <f>IF($K66=F$8,1+IF(OFFSET(F66,-1,0)="",0,OFFSET(F66,-1,0)),IF(F$8&lt;$K66,IF(OFFSET(F66,-1,0)="","ERR",OFFSET(F66,-1,0)),""))</f>
        <v/>
      </c>
      <c r="G66" s="11">
        <f>IF($K66=G$8,1+IF(OFFSET(G66,-1,0)="",0,OFFSET(G66,-1,0)),IF(G$8&lt;$K66,IF(OFFSET(G66,-1,0)="","ERR",OFFSET(G66,-1,0)),""))</f>
        <v/>
      </c>
      <c r="H66" s="11">
        <f>IF($K66=H$8,1+IF(OFFSET(H66,-1,0)="",0,OFFSET(H66,-1,0)),IF(H$8&lt;$K66,IF(OFFSET(H66,-1,0)="","ERR",OFFSET(H66,-1,0)),""))</f>
        <v/>
      </c>
      <c r="I66" s="11">
        <f>IF($K66=I$8,1+IF(OFFSET(I66,-1,0)="",0,OFFSET(I66,-1,0)),IF(I$8&lt;$K66,IF(OFFSET(I66,-1,0)="","ERR",OFFSET(I66,-1,0)),""))</f>
        <v/>
      </c>
      <c r="J66" s="46">
        <f>_xlfn.TEXTJOIN(".",1,B66:I66)</f>
        <v/>
      </c>
      <c r="K66" s="46" t="inlineStr">
        <is>
          <t>Л7</t>
        </is>
      </c>
      <c r="L66" s="46" t="n"/>
      <c r="M66" s="47" t="inlineStr">
        <is>
          <t>19″ панель с DIN-рейкой 19", 3U, PS-3U, ТМ «ЦМО»</t>
        </is>
      </c>
      <c r="N66" s="46" t="inlineStr">
        <is>
          <t>шт.</t>
        </is>
      </c>
      <c r="O66" s="94">
        <f>P66+Q66+S66+V66</f>
        <v/>
      </c>
      <c r="P66" s="46" t="n"/>
      <c r="Q66" s="46" t="n">
        <v>1</v>
      </c>
      <c r="R66" s="46" t="n">
        <v>1</v>
      </c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8" t="n"/>
      <c r="AB66" s="179" t="n"/>
      <c r="AC66" s="189" t="n"/>
      <c r="AD66" s="189">
        <f>SUM(AB66:AC66)</f>
        <v/>
      </c>
      <c r="AE66" s="189">
        <f>AB66*$O66</f>
        <v/>
      </c>
      <c r="AF66" s="189">
        <f>AC66*$O66</f>
        <v/>
      </c>
      <c r="AG66" s="189">
        <f>SUM(AE66:AF66)</f>
        <v/>
      </c>
      <c r="AH66" s="182" t="n"/>
    </row>
    <row r="67" outlineLevel="1">
      <c r="A67" s="18" t="inlineStr">
        <is>
          <t>О</t>
        </is>
      </c>
      <c r="B67" s="11">
        <f>IF($K67=B$8,1+IF(OFFSET(B67,-1,0)="",0,OFFSET(B67,-1,0)),IF(B$8&lt;$K67,IF(OFFSET(B67,-1,0)="","ERR",OFFSET(B67,-1,0)),""))</f>
        <v/>
      </c>
      <c r="C67" s="11">
        <f>IF($K67=C$8,1+IF(OFFSET(C67,-1,0)="",0,OFFSET(C67,-1,0)),IF(C$8&lt;$K67,IF(OFFSET(C67,-1,0)="","ERR",OFFSET(C67,-1,0)),""))</f>
        <v/>
      </c>
      <c r="D67" s="11">
        <f>IF($K67=D$8,1+IF(OFFSET(D67,-1,0)="",0,OFFSET(D67,-1,0)),IF(D$8&lt;$K67,IF(OFFSET(D67,-1,0)="","ERR",OFFSET(D67,-1,0)),""))</f>
        <v/>
      </c>
      <c r="E67" s="11">
        <f>IF($K67=E$8,1+IF(OFFSET(E67,-1,0)="",0,OFFSET(E67,-1,0)),IF(E$8&lt;$K67,IF(OFFSET(E67,-1,0)="","ERR",OFFSET(E67,-1,0)),""))</f>
        <v/>
      </c>
      <c r="F67" s="11">
        <f>IF($K67=F$8,1+IF(OFFSET(F67,-1,0)="",0,OFFSET(F67,-1,0)),IF(F$8&lt;$K67,IF(OFFSET(F67,-1,0)="","ERR",OFFSET(F67,-1,0)),""))</f>
        <v/>
      </c>
      <c r="G67" s="11">
        <f>IF($K67=G$8,1+IF(OFFSET(G67,-1,0)="",0,OFFSET(G67,-1,0)),IF(G$8&lt;$K67,IF(OFFSET(G67,-1,0)="","ERR",OFFSET(G67,-1,0)),""))</f>
        <v/>
      </c>
      <c r="H67" s="11">
        <f>IF($K67=H$8,1+IF(OFFSET(H67,-1,0)="",0,OFFSET(H67,-1,0)),IF(H$8&lt;$K67,IF(OFFSET(H67,-1,0)="","ERR",OFFSET(H67,-1,0)),""))</f>
        <v/>
      </c>
      <c r="I67" s="11">
        <f>IF($K67=I$8,1+IF(OFFSET(I67,-1,0)="",0,OFFSET(I67,-1,0)),IF(I$8&lt;$K67,IF(OFFSET(I67,-1,0)="","ERR",OFFSET(I67,-1,0)),""))</f>
        <v/>
      </c>
      <c r="J67" s="46">
        <f>_xlfn.TEXTJOIN(".",1,B67:I67)</f>
        <v/>
      </c>
      <c r="K67" s="46" t="inlineStr">
        <is>
          <t>Л7</t>
        </is>
      </c>
      <c r="L67" s="46" t="n"/>
      <c r="M67" s="47" t="inlineStr">
        <is>
          <t>Источник бесперебойного питания «Штиль» STR1103TL, STR1103TL, Штиль</t>
        </is>
      </c>
      <c r="N67" s="46" t="inlineStr">
        <is>
          <t>шт.</t>
        </is>
      </c>
      <c r="O67" s="94">
        <f>P67+Q67+S67+V67</f>
        <v/>
      </c>
      <c r="P67" s="46" t="n"/>
      <c r="Q67" s="46" t="n">
        <v>1</v>
      </c>
      <c r="R67" s="46" t="n">
        <v>1</v>
      </c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8" t="n"/>
      <c r="AB67" s="179" t="n"/>
      <c r="AC67" s="189" t="n"/>
      <c r="AD67" s="189">
        <f>SUM(AB67:AC67)</f>
        <v/>
      </c>
      <c r="AE67" s="189">
        <f>AB67*$O67</f>
        <v/>
      </c>
      <c r="AF67" s="189">
        <f>AC67*$O67</f>
        <v/>
      </c>
      <c r="AG67" s="189">
        <f>SUM(AE67:AF67)</f>
        <v/>
      </c>
      <c r="AH67" s="182" t="n"/>
    </row>
    <row r="68" outlineLevel="1">
      <c r="A68" s="18" t="inlineStr">
        <is>
          <t>О</t>
        </is>
      </c>
      <c r="B68" s="11">
        <f>IF($K68=B$8,1+IF(OFFSET(B68,-1,0)="",0,OFFSET(B68,-1,0)),IF(B$8&lt;$K68,IF(OFFSET(B68,-1,0)="","ERR",OFFSET(B68,-1,0)),""))</f>
        <v/>
      </c>
      <c r="C68" s="11">
        <f>IF($K68=C$8,1+IF(OFFSET(C68,-1,0)="",0,OFFSET(C68,-1,0)),IF(C$8&lt;$K68,IF(OFFSET(C68,-1,0)="","ERR",OFFSET(C68,-1,0)),""))</f>
        <v/>
      </c>
      <c r="D68" s="11">
        <f>IF($K68=D$8,1+IF(OFFSET(D68,-1,0)="",0,OFFSET(D68,-1,0)),IF(D$8&lt;$K68,IF(OFFSET(D68,-1,0)="","ERR",OFFSET(D68,-1,0)),""))</f>
        <v/>
      </c>
      <c r="E68" s="11">
        <f>IF($K68=E$8,1+IF(OFFSET(E68,-1,0)="",0,OFFSET(E68,-1,0)),IF(E$8&lt;$K68,IF(OFFSET(E68,-1,0)="","ERR",OFFSET(E68,-1,0)),""))</f>
        <v/>
      </c>
      <c r="F68" s="11">
        <f>IF($K68=F$8,1+IF(OFFSET(F68,-1,0)="",0,OFFSET(F68,-1,0)),IF(F$8&lt;$K68,IF(OFFSET(F68,-1,0)="","ERR",OFFSET(F68,-1,0)),""))</f>
        <v/>
      </c>
      <c r="G68" s="11">
        <f>IF($K68=G$8,1+IF(OFFSET(G68,-1,0)="",0,OFFSET(G68,-1,0)),IF(G$8&lt;$K68,IF(OFFSET(G68,-1,0)="","ERR",OFFSET(G68,-1,0)),""))</f>
        <v/>
      </c>
      <c r="H68" s="11">
        <f>IF($K68=H$8,1+IF(OFFSET(H68,-1,0)="",0,OFFSET(H68,-1,0)),IF(H$8&lt;$K68,IF(OFFSET(H68,-1,0)="","ERR",OFFSET(H68,-1,0)),""))</f>
        <v/>
      </c>
      <c r="I68" s="11">
        <f>IF($K68=I$8,1+IF(OFFSET(I68,-1,0)="",0,OFFSET(I68,-1,0)),IF(I$8&lt;$K68,IF(OFFSET(I68,-1,0)="","ERR",OFFSET(I68,-1,0)),""))</f>
        <v/>
      </c>
      <c r="J68" s="46">
        <f>_xlfn.TEXTJOIN(".",1,B68:I68)</f>
        <v/>
      </c>
      <c r="K68" s="46" t="inlineStr">
        <is>
          <t>Л7</t>
        </is>
      </c>
      <c r="L68" s="46" t="n"/>
      <c r="M68" s="47" t="inlineStr">
        <is>
          <t>Батарейный модуль для ИБП «Штиль», BMRT-72-18, Штиль</t>
        </is>
      </c>
      <c r="N68" s="46" t="inlineStr">
        <is>
          <t>шт.</t>
        </is>
      </c>
      <c r="O68" s="94">
        <f>P68+Q68+S68+V68</f>
        <v/>
      </c>
      <c r="P68" s="46" t="n"/>
      <c r="Q68" s="46" t="n">
        <v>2</v>
      </c>
      <c r="R68" s="46" t="n">
        <v>2</v>
      </c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8" t="n"/>
      <c r="AB68" s="179" t="n"/>
      <c r="AC68" s="189" t="n"/>
      <c r="AD68" s="189">
        <f>SUM(AB68:AC68)</f>
        <v/>
      </c>
      <c r="AE68" s="189">
        <f>AB68*$O68</f>
        <v/>
      </c>
      <c r="AF68" s="189">
        <f>AC68*$O68</f>
        <v/>
      </c>
      <c r="AG68" s="189">
        <f>SUM(AE68:AF68)</f>
        <v/>
      </c>
      <c r="AH68" s="182" t="n"/>
    </row>
    <row r="69" outlineLevel="1">
      <c r="A69" s="18" t="inlineStr">
        <is>
          <t>О</t>
        </is>
      </c>
      <c r="B69" s="11">
        <f>IF($K69=B$8,1+IF(OFFSET(B69,-1,0)="",0,OFFSET(B69,-1,0)),IF(B$8&lt;$K69,IF(OFFSET(B69,-1,0)="","ERR",OFFSET(B69,-1,0)),""))</f>
        <v/>
      </c>
      <c r="C69" s="11">
        <f>IF($K69=C$8,1+IF(OFFSET(C69,-1,0)="",0,OFFSET(C69,-1,0)),IF(C$8&lt;$K69,IF(OFFSET(C69,-1,0)="","ERR",OFFSET(C69,-1,0)),""))</f>
        <v/>
      </c>
      <c r="D69" s="11">
        <f>IF($K69=D$8,1+IF(OFFSET(D69,-1,0)="",0,OFFSET(D69,-1,0)),IF(D$8&lt;$K69,IF(OFFSET(D69,-1,0)="","ERR",OFFSET(D69,-1,0)),""))</f>
        <v/>
      </c>
      <c r="E69" s="11">
        <f>IF($K69=E$8,1+IF(OFFSET(E69,-1,0)="",0,OFFSET(E69,-1,0)),IF(E$8&lt;$K69,IF(OFFSET(E69,-1,0)="","ERR",OFFSET(E69,-1,0)),""))</f>
        <v/>
      </c>
      <c r="F69" s="11">
        <f>IF($K69=F$8,1+IF(OFFSET(F69,-1,0)="",0,OFFSET(F69,-1,0)),IF(F$8&lt;$K69,IF(OFFSET(F69,-1,0)="","ERR",OFFSET(F69,-1,0)),""))</f>
        <v/>
      </c>
      <c r="G69" s="11">
        <f>IF($K69=G$8,1+IF(OFFSET(G69,-1,0)="",0,OFFSET(G69,-1,0)),IF(G$8&lt;$K69,IF(OFFSET(G69,-1,0)="","ERR",OFFSET(G69,-1,0)),""))</f>
        <v/>
      </c>
      <c r="H69" s="11">
        <f>IF($K69=H$8,1+IF(OFFSET(H69,-1,0)="",0,OFFSET(H69,-1,0)),IF(H$8&lt;$K69,IF(OFFSET(H69,-1,0)="","ERR",OFFSET(H69,-1,0)),""))</f>
        <v/>
      </c>
      <c r="I69" s="11">
        <f>IF($K69=I$8,1+IF(OFFSET(I69,-1,0)="",0,OFFSET(I69,-1,0)),IF(I$8&lt;$K69,IF(OFFSET(I69,-1,0)="","ERR",OFFSET(I69,-1,0)),""))</f>
        <v/>
      </c>
      <c r="J69" s="46">
        <f>_xlfn.TEXTJOIN(".",1,B69:I69)</f>
        <v/>
      </c>
      <c r="K69" s="46" t="inlineStr">
        <is>
          <t>Л7</t>
        </is>
      </c>
      <c r="L69" s="46" t="n"/>
      <c r="M69" s="47" t="inlineStr">
        <is>
          <t>Карта мониторинга IC-SNMP/WEB, IC-SNMP/WEB, Штиль</t>
        </is>
      </c>
      <c r="N69" s="46" t="inlineStr">
        <is>
          <t>шт.</t>
        </is>
      </c>
      <c r="O69" s="94">
        <f>P69+Q69+S69+V69</f>
        <v/>
      </c>
      <c r="P69" s="46" t="n"/>
      <c r="Q69" s="46" t="n">
        <v>1</v>
      </c>
      <c r="R69" s="46" t="n">
        <v>1</v>
      </c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8" t="n"/>
      <c r="AB69" s="179" t="n"/>
      <c r="AC69" s="189" t="n"/>
      <c r="AD69" s="189">
        <f>SUM(AB69:AC69)</f>
        <v/>
      </c>
      <c r="AE69" s="189">
        <f>AB69*$O69</f>
        <v/>
      </c>
      <c r="AF69" s="189">
        <f>AC69*$O69</f>
        <v/>
      </c>
      <c r="AG69" s="189">
        <f>SUM(AE69:AF69)</f>
        <v/>
      </c>
      <c r="AH69" s="182" t="n"/>
    </row>
    <row r="70" outlineLevel="1">
      <c r="A70" s="18" t="inlineStr">
        <is>
          <t>О</t>
        </is>
      </c>
      <c r="B70" s="11">
        <f>IF($K70=B$8,1+IF(OFFSET(B70,-1,0)="",0,OFFSET(B70,-1,0)),IF(B$8&lt;$K70,IF(OFFSET(B70,-1,0)="","ERR",OFFSET(B70,-1,0)),""))</f>
        <v/>
      </c>
      <c r="C70" s="11">
        <f>IF($K70=C$8,1+IF(OFFSET(C70,-1,0)="",0,OFFSET(C70,-1,0)),IF(C$8&lt;$K70,IF(OFFSET(C70,-1,0)="","ERR",OFFSET(C70,-1,0)),""))</f>
        <v/>
      </c>
      <c r="D70" s="11">
        <f>IF($K70=D$8,1+IF(OFFSET(D70,-1,0)="",0,OFFSET(D70,-1,0)),IF(D$8&lt;$K70,IF(OFFSET(D70,-1,0)="","ERR",OFFSET(D70,-1,0)),""))</f>
        <v/>
      </c>
      <c r="E70" s="11">
        <f>IF($K70=E$8,1+IF(OFFSET(E70,-1,0)="",0,OFFSET(E70,-1,0)),IF(E$8&lt;$K70,IF(OFFSET(E70,-1,0)="","ERR",OFFSET(E70,-1,0)),""))</f>
        <v/>
      </c>
      <c r="F70" s="11">
        <f>IF($K70=F$8,1+IF(OFFSET(F70,-1,0)="",0,OFFSET(F70,-1,0)),IF(F$8&lt;$K70,IF(OFFSET(F70,-1,0)="","ERR",OFFSET(F70,-1,0)),""))</f>
        <v/>
      </c>
      <c r="G70" s="11">
        <f>IF($K70=G$8,1+IF(OFFSET(G70,-1,0)="",0,OFFSET(G70,-1,0)),IF(G$8&lt;$K70,IF(OFFSET(G70,-1,0)="","ERR",OFFSET(G70,-1,0)),""))</f>
        <v/>
      </c>
      <c r="H70" s="11">
        <f>IF($K70=H$8,1+IF(OFFSET(H70,-1,0)="",0,OFFSET(H70,-1,0)),IF(H$8&lt;$K70,IF(OFFSET(H70,-1,0)="","ERR",OFFSET(H70,-1,0)),""))</f>
        <v/>
      </c>
      <c r="I70" s="11">
        <f>IF($K70=I$8,1+IF(OFFSET(I70,-1,0)="",0,OFFSET(I70,-1,0)),IF(I$8&lt;$K70,IF(OFFSET(I70,-1,0)="","ERR",OFFSET(I70,-1,0)),""))</f>
        <v/>
      </c>
      <c r="J70" s="46">
        <f>_xlfn.TEXTJOIN(".",1,B70:I70)</f>
        <v/>
      </c>
      <c r="K70" s="46" t="inlineStr">
        <is>
          <t>Л7</t>
        </is>
      </c>
      <c r="L70" s="46" t="n"/>
      <c r="M70" s="47" t="inlineStr">
        <is>
          <t>Панель заземления горизонтальная/вертикальная, ПЗ-19-500.200А, ТМ «ЦМО»</t>
        </is>
      </c>
      <c r="N70" s="46" t="inlineStr">
        <is>
          <t>шт.</t>
        </is>
      </c>
      <c r="O70" s="94">
        <f>P70+Q70+S70+V70</f>
        <v/>
      </c>
      <c r="P70" s="46" t="n"/>
      <c r="Q70" s="46" t="n">
        <v>1</v>
      </c>
      <c r="R70" s="46" t="n">
        <v>1</v>
      </c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8" t="n"/>
      <c r="AB70" s="179" t="n"/>
      <c r="AC70" s="189" t="n"/>
      <c r="AD70" s="189">
        <f>SUM(AB70:AC70)</f>
        <v/>
      </c>
      <c r="AE70" s="189">
        <f>AB70*$O70</f>
        <v/>
      </c>
      <c r="AF70" s="189">
        <f>AC70*$O70</f>
        <v/>
      </c>
      <c r="AG70" s="189">
        <f>SUM(AE70:AF70)</f>
        <v/>
      </c>
      <c r="AH70" s="182" t="n"/>
    </row>
    <row r="71" outlineLevel="1" ht="24.75" customHeight="1">
      <c r="A71" s="18" t="inlineStr">
        <is>
          <t>О</t>
        </is>
      </c>
      <c r="B71" s="11">
        <f>IF($K71=B$8,1+IF(OFFSET(B71,-1,0)="",0,OFFSET(B71,-1,0)),IF(B$8&lt;$K71,IF(OFFSET(B71,-1,0)="","ERR",OFFSET(B71,-1,0)),""))</f>
        <v/>
      </c>
      <c r="C71" s="11">
        <f>IF($K71=C$8,1+IF(OFFSET(C71,-1,0)="",0,OFFSET(C71,-1,0)),IF(C$8&lt;$K71,IF(OFFSET(C71,-1,0)="","ERR",OFFSET(C71,-1,0)),""))</f>
        <v/>
      </c>
      <c r="D71" s="11">
        <f>IF($K71=D$8,1+IF(OFFSET(D71,-1,0)="",0,OFFSET(D71,-1,0)),IF(D$8&lt;$K71,IF(OFFSET(D71,-1,0)="","ERR",OFFSET(D71,-1,0)),""))</f>
        <v/>
      </c>
      <c r="E71" s="11">
        <f>IF($K71=E$8,1+IF(OFFSET(E71,-1,0)="",0,OFFSET(E71,-1,0)),IF(E$8&lt;$K71,IF(OFFSET(E71,-1,0)="","ERR",OFFSET(E71,-1,0)),""))</f>
        <v/>
      </c>
      <c r="F71" s="11">
        <f>IF($K71=F$8,1+IF(OFFSET(F71,-1,0)="",0,OFFSET(F71,-1,0)),IF(F$8&lt;$K71,IF(OFFSET(F71,-1,0)="","ERR",OFFSET(F71,-1,0)),""))</f>
        <v/>
      </c>
      <c r="G71" s="11">
        <f>IF($K71=G$8,1+IF(OFFSET(G71,-1,0)="",0,OFFSET(G71,-1,0)),IF(G$8&lt;$K71,IF(OFFSET(G71,-1,0)="","ERR",OFFSET(G71,-1,0)),""))</f>
        <v/>
      </c>
      <c r="H71" s="11">
        <f>IF($K71=H$8,1+IF(OFFSET(H71,-1,0)="",0,OFFSET(H71,-1,0)),IF(H$8&lt;$K71,IF(OFFSET(H71,-1,0)="","ERR",OFFSET(H71,-1,0)),""))</f>
        <v/>
      </c>
      <c r="I71" s="11">
        <f>IF($K71=I$8,1+IF(OFFSET(I71,-1,0)="",0,OFFSET(I71,-1,0)),IF(I$8&lt;$K71,IF(OFFSET(I71,-1,0)="","ERR",OFFSET(I71,-1,0)),""))</f>
        <v/>
      </c>
      <c r="J71" s="46">
        <f>_xlfn.TEXTJOIN(".",1,B71:I71)</f>
        <v/>
      </c>
      <c r="K71" s="46" t="inlineStr">
        <is>
          <t>Л7</t>
        </is>
      </c>
      <c r="L71" s="46" t="n"/>
      <c r="M71" s="47" t="inlineStr">
        <is>
          <t>Блок розеток Rem-10 с выкл., 8 Sсhuko, 10 A, алюм., 19", шнур 1.8 м.IEC 60320 C14, R-10-8S-V-440-1.8, ТМ «ЦМО»</t>
        </is>
      </c>
      <c r="N71" s="46" t="inlineStr">
        <is>
          <t>шт.</t>
        </is>
      </c>
      <c r="O71" s="94">
        <f>P71+Q71+S71+V71</f>
        <v/>
      </c>
      <c r="P71" s="46" t="n"/>
      <c r="Q71" s="46" t="n">
        <v>1</v>
      </c>
      <c r="R71" s="46" t="n">
        <v>1</v>
      </c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8" t="n"/>
      <c r="AB71" s="179" t="n"/>
      <c r="AC71" s="189" t="n"/>
      <c r="AD71" s="189">
        <f>SUM(AB71:AC71)</f>
        <v/>
      </c>
      <c r="AE71" s="189">
        <f>AB71*$O71</f>
        <v/>
      </c>
      <c r="AF71" s="189">
        <f>AC71*$O71</f>
        <v/>
      </c>
      <c r="AG71" s="189">
        <f>SUM(AE71:AF71)</f>
        <v/>
      </c>
      <c r="AH71" s="182" t="n"/>
    </row>
    <row r="72" outlineLevel="1">
      <c r="A72" s="18" t="inlineStr">
        <is>
          <t>О</t>
        </is>
      </c>
      <c r="B72" s="11">
        <f>IF($K72=B$8,1+IF(OFFSET(B72,-1,0)="",0,OFFSET(B72,-1,0)),IF(B$8&lt;$K72,IF(OFFSET(B72,-1,0)="","ERR",OFFSET(B72,-1,0)),""))</f>
        <v/>
      </c>
      <c r="C72" s="11">
        <f>IF($K72=C$8,1+IF(OFFSET(C72,-1,0)="",0,OFFSET(C72,-1,0)),IF(C$8&lt;$K72,IF(OFFSET(C72,-1,0)="","ERR",OFFSET(C72,-1,0)),""))</f>
        <v/>
      </c>
      <c r="D72" s="11">
        <f>IF($K72=D$8,1+IF(OFFSET(D72,-1,0)="",0,OFFSET(D72,-1,0)),IF(D$8&lt;$K72,IF(OFFSET(D72,-1,0)="","ERR",OFFSET(D72,-1,0)),""))</f>
        <v/>
      </c>
      <c r="E72" s="11">
        <f>IF($K72=E$8,1+IF(OFFSET(E72,-1,0)="",0,OFFSET(E72,-1,0)),IF(E$8&lt;$K72,IF(OFFSET(E72,-1,0)="","ERR",OFFSET(E72,-1,0)),""))</f>
        <v/>
      </c>
      <c r="F72" s="11">
        <f>IF($K72=F$8,1+IF(OFFSET(F72,-1,0)="",0,OFFSET(F72,-1,0)),IF(F$8&lt;$K72,IF(OFFSET(F72,-1,0)="","ERR",OFFSET(F72,-1,0)),""))</f>
        <v/>
      </c>
      <c r="G72" s="11">
        <f>IF($K72=G$8,1+IF(OFFSET(G72,-1,0)="",0,OFFSET(G72,-1,0)),IF(G$8&lt;$K72,IF(OFFSET(G72,-1,0)="","ERR",OFFSET(G72,-1,0)),""))</f>
        <v/>
      </c>
      <c r="H72" s="11">
        <f>IF($K72=H$8,1+IF(OFFSET(H72,-1,0)="",0,OFFSET(H72,-1,0)),IF(H$8&lt;$K72,IF(OFFSET(H72,-1,0)="","ERR",OFFSET(H72,-1,0)),""))</f>
        <v/>
      </c>
      <c r="I72" s="11">
        <f>IF($K72=I$8,1+IF(OFFSET(I72,-1,0)="",0,OFFSET(I72,-1,0)),IF(I$8&lt;$K72,IF(OFFSET(I72,-1,0)="","ERR",OFFSET(I72,-1,0)),""))</f>
        <v/>
      </c>
      <c r="J72" s="46">
        <f>_xlfn.TEXTJOIN(".",1,B72:I72)</f>
        <v/>
      </c>
      <c r="K72" s="46" t="inlineStr">
        <is>
          <t>Л7</t>
        </is>
      </c>
      <c r="L72" s="46" t="n"/>
      <c r="M72" s="47" t="inlineStr">
        <is>
          <t>Комплект щеточного ввода в шкаф, универсальный, КВ-Щ-55.210А-9005, ТМ «ЦМО»</t>
        </is>
      </c>
      <c r="N72" s="46" t="inlineStr">
        <is>
          <t>шт.</t>
        </is>
      </c>
      <c r="O72" s="94">
        <f>P72+Q72+S72+V72</f>
        <v/>
      </c>
      <c r="P72" s="46" t="n"/>
      <c r="Q72" s="46" t="n">
        <v>1</v>
      </c>
      <c r="R72" s="46" t="n">
        <v>1</v>
      </c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8" t="n"/>
      <c r="AB72" s="179" t="n"/>
      <c r="AC72" s="189" t="n"/>
      <c r="AD72" s="189">
        <f>SUM(AB72:AC72)</f>
        <v/>
      </c>
      <c r="AE72" s="189">
        <f>AB72*$O72</f>
        <v/>
      </c>
      <c r="AF72" s="189">
        <f>AC72*$O72</f>
        <v/>
      </c>
      <c r="AG72" s="189">
        <f>SUM(AE72:AF72)</f>
        <v/>
      </c>
      <c r="AH72" s="182" t="n"/>
    </row>
    <row r="73" outlineLevel="1">
      <c r="A73" s="18" t="inlineStr">
        <is>
          <t>О</t>
        </is>
      </c>
      <c r="B73" s="11">
        <f>IF($K73=B$8,1+IF(OFFSET(B73,-1,0)="",0,OFFSET(B73,-1,0)),IF(B$8&lt;$K73,IF(OFFSET(B73,-1,0)="","ERR",OFFSET(B73,-1,0)),""))</f>
        <v/>
      </c>
      <c r="C73" s="11">
        <f>IF($K73=C$8,1+IF(OFFSET(C73,-1,0)="",0,OFFSET(C73,-1,0)),IF(C$8&lt;$K73,IF(OFFSET(C73,-1,0)="","ERR",OFFSET(C73,-1,0)),""))</f>
        <v/>
      </c>
      <c r="D73" s="11">
        <f>IF($K73=D$8,1+IF(OFFSET(D73,-1,0)="",0,OFFSET(D73,-1,0)),IF(D$8&lt;$K73,IF(OFFSET(D73,-1,0)="","ERR",OFFSET(D73,-1,0)),""))</f>
        <v/>
      </c>
      <c r="E73" s="11">
        <f>IF($K73=E$8,1+IF(OFFSET(E73,-1,0)="",0,OFFSET(E73,-1,0)),IF(E$8&lt;$K73,IF(OFFSET(E73,-1,0)="","ERR",OFFSET(E73,-1,0)),""))</f>
        <v/>
      </c>
      <c r="F73" s="11">
        <f>IF($K73=F$8,1+IF(OFFSET(F73,-1,0)="",0,OFFSET(F73,-1,0)),IF(F$8&lt;$K73,IF(OFFSET(F73,-1,0)="","ERR",OFFSET(F73,-1,0)),""))</f>
        <v/>
      </c>
      <c r="G73" s="11">
        <f>IF($K73=G$8,1+IF(OFFSET(G73,-1,0)="",0,OFFSET(G73,-1,0)),IF(G$8&lt;$K73,IF(OFFSET(G73,-1,0)="","ERR",OFFSET(G73,-1,0)),""))</f>
        <v/>
      </c>
      <c r="H73" s="11">
        <f>IF($K73=H$8,1+IF(OFFSET(H73,-1,0)="",0,OFFSET(H73,-1,0)),IF(H$8&lt;$K73,IF(OFFSET(H73,-1,0)="","ERR",OFFSET(H73,-1,0)),""))</f>
        <v/>
      </c>
      <c r="I73" s="11">
        <f>IF($K73=I$8,1+IF(OFFSET(I73,-1,0)="",0,OFFSET(I73,-1,0)),IF(I$8&lt;$K73,IF(OFFSET(I73,-1,0)="","ERR",OFFSET(I73,-1,0)),""))</f>
        <v/>
      </c>
      <c r="J73" s="46">
        <f>_xlfn.TEXTJOIN(".",1,B73:I73)</f>
        <v/>
      </c>
      <c r="K73" s="46" t="inlineStr">
        <is>
          <t>Л7</t>
        </is>
      </c>
      <c r="L73" s="46" t="n"/>
      <c r="M73" s="47" t="inlineStr">
        <is>
          <t>Комплект для монтажа в стойку ИБП Штиль, 1060905, Штиль</t>
        </is>
      </c>
      <c r="N73" s="46" t="inlineStr">
        <is>
          <t>шт.</t>
        </is>
      </c>
      <c r="O73" s="94">
        <f>P73+Q73+S73+V73</f>
        <v/>
      </c>
      <c r="P73" s="46" t="n"/>
      <c r="Q73" s="46" t="n">
        <v>3</v>
      </c>
      <c r="R73" s="46" t="n">
        <v>3</v>
      </c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8" t="n"/>
      <c r="AB73" s="179" t="n"/>
      <c r="AC73" s="189" t="n"/>
      <c r="AD73" s="189">
        <f>SUM(AB73:AC73)</f>
        <v/>
      </c>
      <c r="AE73" s="189">
        <f>AB73*$O73</f>
        <v/>
      </c>
      <c r="AF73" s="189">
        <f>AC73*$O73</f>
        <v/>
      </c>
      <c r="AG73" s="189">
        <f>SUM(AE73:AF73)</f>
        <v/>
      </c>
      <c r="AH73" s="182" t="n"/>
    </row>
    <row r="74" outlineLevel="1">
      <c r="A74" s="18" t="inlineStr">
        <is>
          <t>О</t>
        </is>
      </c>
      <c r="B74" s="11">
        <f>IF($K74=B$8,1+IF(OFFSET(B74,-1,0)="",0,OFFSET(B74,-1,0)),IF(B$8&lt;$K74,IF(OFFSET(B74,-1,0)="","ERR",OFFSET(B74,-1,0)),""))</f>
        <v/>
      </c>
      <c r="C74" s="11">
        <f>IF($K74=C$8,1+IF(OFFSET(C74,-1,0)="",0,OFFSET(C74,-1,0)),IF(C$8&lt;$K74,IF(OFFSET(C74,-1,0)="","ERR",OFFSET(C74,-1,0)),""))</f>
        <v/>
      </c>
      <c r="D74" s="11">
        <f>IF($K74=D$8,1+IF(OFFSET(D74,-1,0)="",0,OFFSET(D74,-1,0)),IF(D$8&lt;$K74,IF(OFFSET(D74,-1,0)="","ERR",OFFSET(D74,-1,0)),""))</f>
        <v/>
      </c>
      <c r="E74" s="11">
        <f>IF($K74=E$8,1+IF(OFFSET(E74,-1,0)="",0,OFFSET(E74,-1,0)),IF(E$8&lt;$K74,IF(OFFSET(E74,-1,0)="","ERR",OFFSET(E74,-1,0)),""))</f>
        <v/>
      </c>
      <c r="F74" s="11">
        <f>IF($K74=F$8,1+IF(OFFSET(F74,-1,0)="",0,OFFSET(F74,-1,0)),IF(F$8&lt;$K74,IF(OFFSET(F74,-1,0)="","ERR",OFFSET(F74,-1,0)),""))</f>
        <v/>
      </c>
      <c r="G74" s="11">
        <f>IF($K74=G$8,1+IF(OFFSET(G74,-1,0)="",0,OFFSET(G74,-1,0)),IF(G$8&lt;$K74,IF(OFFSET(G74,-1,0)="","ERR",OFFSET(G74,-1,0)),""))</f>
        <v/>
      </c>
      <c r="H74" s="11">
        <f>IF($K74=H$8,1+IF(OFFSET(H74,-1,0)="",0,OFFSET(H74,-1,0)),IF(H$8&lt;$K74,IF(OFFSET(H74,-1,0)="","ERR",OFFSET(H74,-1,0)),""))</f>
        <v/>
      </c>
      <c r="I74" s="11">
        <f>IF($K74=I$8,1+IF(OFFSET(I74,-1,0)="",0,OFFSET(I74,-1,0)),IF(I$8&lt;$K74,IF(OFFSET(I74,-1,0)="","ERR",OFFSET(I74,-1,0)),""))</f>
        <v/>
      </c>
      <c r="J74" s="46">
        <f>_xlfn.TEXTJOIN(".",1,B74:I74)</f>
        <v/>
      </c>
      <c r="K74" s="46" t="inlineStr">
        <is>
          <t>Л7</t>
        </is>
      </c>
      <c r="L74" s="46" t="n"/>
      <c r="M74" s="47" t="inlineStr">
        <is>
          <t>Комплект проводов заземления для шкафа ШТК-М, универсальный, ПЗ-ШТК-М, ТМ «ЦМО»</t>
        </is>
      </c>
      <c r="N74" s="46" t="inlineStr">
        <is>
          <t>шт.</t>
        </is>
      </c>
      <c r="O74" s="94">
        <f>P74+Q74+S74+V74</f>
        <v/>
      </c>
      <c r="P74" s="46" t="n"/>
      <c r="Q74" s="46" t="n">
        <v>1</v>
      </c>
      <c r="R74" s="46" t="n">
        <v>1</v>
      </c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8" t="n"/>
      <c r="AB74" s="179" t="n"/>
      <c r="AC74" s="189" t="n"/>
      <c r="AD74" s="189">
        <f>SUM(AB74:AC74)</f>
        <v/>
      </c>
      <c r="AE74" s="189">
        <f>AB74*$O74</f>
        <v/>
      </c>
      <c r="AF74" s="189">
        <f>AC74*$O74</f>
        <v/>
      </c>
      <c r="AG74" s="189">
        <f>SUM(AE74:AF74)</f>
        <v/>
      </c>
      <c r="AH74" s="182" t="n"/>
    </row>
    <row r="75" outlineLevel="1">
      <c r="A75" s="18" t="inlineStr">
        <is>
          <t>О</t>
        </is>
      </c>
      <c r="B75" s="11">
        <f>IF($K75=B$8,1+IF(OFFSET(B75,-1,0)="",0,OFFSET(B75,-1,0)),IF(B$8&lt;$K75,IF(OFFSET(B75,-1,0)="","ERR",OFFSET(B75,-1,0)),""))</f>
        <v/>
      </c>
      <c r="C75" s="11">
        <f>IF($K75=C$8,1+IF(OFFSET(C75,-1,0)="",0,OFFSET(C75,-1,0)),IF(C$8&lt;$K75,IF(OFFSET(C75,-1,0)="","ERR",OFFSET(C75,-1,0)),""))</f>
        <v/>
      </c>
      <c r="D75" s="11">
        <f>IF($K75=D$8,1+IF(OFFSET(D75,-1,0)="",0,OFFSET(D75,-1,0)),IF(D$8&lt;$K75,IF(OFFSET(D75,-1,0)="","ERR",OFFSET(D75,-1,0)),""))</f>
        <v/>
      </c>
      <c r="E75" s="11">
        <f>IF($K75=E$8,1+IF(OFFSET(E75,-1,0)="",0,OFFSET(E75,-1,0)),IF(E$8&lt;$K75,IF(OFFSET(E75,-1,0)="","ERR",OFFSET(E75,-1,0)),""))</f>
        <v/>
      </c>
      <c r="F75" s="11">
        <f>IF($K75=F$8,1+IF(OFFSET(F75,-1,0)="",0,OFFSET(F75,-1,0)),IF(F$8&lt;$K75,IF(OFFSET(F75,-1,0)="","ERR",OFFSET(F75,-1,0)),""))</f>
        <v/>
      </c>
      <c r="G75" s="11">
        <f>IF($K75=G$8,1+IF(OFFSET(G75,-1,0)="",0,OFFSET(G75,-1,0)),IF(G$8&lt;$K75,IF(OFFSET(G75,-1,0)="","ERR",OFFSET(G75,-1,0)),""))</f>
        <v/>
      </c>
      <c r="H75" s="11">
        <f>IF($K75=H$8,1+IF(OFFSET(H75,-1,0)="",0,OFFSET(H75,-1,0)),IF(H$8&lt;$K75,IF(OFFSET(H75,-1,0)="","ERR",OFFSET(H75,-1,0)),""))</f>
        <v/>
      </c>
      <c r="I75" s="11">
        <f>IF($K75=I$8,1+IF(OFFSET(I75,-1,0)="",0,OFFSET(I75,-1,0)),IF(I$8&lt;$K75,IF(OFFSET(I75,-1,0)="","ERR",OFFSET(I75,-1,0)),""))</f>
        <v/>
      </c>
      <c r="J75" s="49">
        <f>_xlfn.TEXTJOIN(".",1,B75:I75)</f>
        <v/>
      </c>
      <c r="K75" s="49" t="inlineStr">
        <is>
          <t>Л7</t>
        </is>
      </c>
      <c r="L75" s="49" t="n"/>
      <c r="M75" s="63" t="inlineStr">
        <is>
          <t>SFP-трансивер с 1 портом 10 Гбит/с, для одномодового оптического кабеля, LTV-SFP-10G-LC10, LTV</t>
        </is>
      </c>
      <c r="N75" s="49" t="inlineStr">
        <is>
          <t>шт.</t>
        </is>
      </c>
      <c r="O75" s="50">
        <f>P75+Q75+S75+V75</f>
        <v/>
      </c>
      <c r="P75" s="49" t="n"/>
      <c r="Q75" s="49" t="n">
        <v>4</v>
      </c>
      <c r="R75" s="49" t="n">
        <v>4</v>
      </c>
      <c r="S75" s="49" t="n"/>
      <c r="T75" s="49" t="n"/>
      <c r="U75" s="49" t="n"/>
      <c r="V75" s="49" t="n"/>
      <c r="W75" s="50" t="n">
        <v>1</v>
      </c>
      <c r="X75" s="26" t="n">
        <v>5040070405</v>
      </c>
      <c r="Y75" s="26" t="n">
        <v>772201001</v>
      </c>
      <c r="Z75" s="26" t="inlineStr">
        <is>
          <t>ООО "ЛУИС+"</t>
        </is>
      </c>
      <c r="AA75" s="51" t="inlineStr">
        <is>
          <t>ГТ</t>
        </is>
      </c>
      <c r="AB75" s="188" t="n"/>
      <c r="AC75" s="189" t="n"/>
      <c r="AD75" s="190">
        <f>SUM(AB75:AC75)</f>
        <v/>
      </c>
      <c r="AE75" s="190">
        <f>AB75*$O75*$W75</f>
        <v/>
      </c>
      <c r="AF75" s="190">
        <f>AC75*$O75*$W75</f>
        <v/>
      </c>
      <c r="AG75" s="190">
        <f>SUM(AE75:AF75)</f>
        <v/>
      </c>
      <c r="AH75" s="182" t="n"/>
    </row>
    <row r="76" outlineLevel="1">
      <c r="A76" s="18" t="inlineStr">
        <is>
          <t>О</t>
        </is>
      </c>
      <c r="B76" s="11">
        <f>IF($K76=B$8,1+IF(OFFSET(B76,-1,0)="",0,OFFSET(B76,-1,0)),IF(B$8&lt;$K76,IF(OFFSET(B76,-1,0)="","ERR",OFFSET(B76,-1,0)),""))</f>
        <v/>
      </c>
      <c r="C76" s="11">
        <f>IF($K76=C$8,1+IF(OFFSET(C76,-1,0)="",0,OFFSET(C76,-1,0)),IF(C$8&lt;$K76,IF(OFFSET(C76,-1,0)="","ERR",OFFSET(C76,-1,0)),""))</f>
        <v/>
      </c>
      <c r="D76" s="11">
        <f>IF($K76=D$8,1+IF(OFFSET(D76,-1,0)="",0,OFFSET(D76,-1,0)),IF(D$8&lt;$K76,IF(OFFSET(D76,-1,0)="","ERR",OFFSET(D76,-1,0)),""))</f>
        <v/>
      </c>
      <c r="E76" s="11">
        <f>IF($K76=E$8,1+IF(OFFSET(E76,-1,0)="",0,OFFSET(E76,-1,0)),IF(E$8&lt;$K76,IF(OFFSET(E76,-1,0)="","ERR",OFFSET(E76,-1,0)),""))</f>
        <v/>
      </c>
      <c r="F76" s="11">
        <f>IF($K76=F$8,1+IF(OFFSET(F76,-1,0)="",0,OFFSET(F76,-1,0)),IF(F$8&lt;$K76,IF(OFFSET(F76,-1,0)="","ERR",OFFSET(F76,-1,0)),""))</f>
        <v/>
      </c>
      <c r="G76" s="11">
        <f>IF($K76=G$8,1+IF(OFFSET(G76,-1,0)="",0,OFFSET(G76,-1,0)),IF(G$8&lt;$K76,IF(OFFSET(G76,-1,0)="","ERR",OFFSET(G76,-1,0)),""))</f>
        <v/>
      </c>
      <c r="H76" s="11">
        <f>IF($K76=H$8,1+IF(OFFSET(H76,-1,0)="",0,OFFSET(H76,-1,0)),IF(H$8&lt;$K76,IF(OFFSET(H76,-1,0)="","ERR",OFFSET(H76,-1,0)),""))</f>
        <v/>
      </c>
      <c r="I76" s="11">
        <f>IF($K76=I$8,1+IF(OFFSET(I76,-1,0)="",0,OFFSET(I76,-1,0)),IF(I$8&lt;$K76,IF(OFFSET(I76,-1,0)="","ERR",OFFSET(I76,-1,0)),""))</f>
        <v/>
      </c>
      <c r="J76" s="49">
        <f>_xlfn.TEXTJOIN(".",1,B76:I76)</f>
        <v/>
      </c>
      <c r="K76" s="49" t="inlineStr">
        <is>
          <t>Л7</t>
        </is>
      </c>
      <c r="L76" s="49" t="n"/>
      <c r="M76" s="63" t="inlineStr">
        <is>
          <t>SFP-трансивер с 1 портом 1 Гбит/с, для одномодового оптического кабеля, LTV-SFP-1G-LC20, LTV</t>
        </is>
      </c>
      <c r="N76" s="49" t="inlineStr">
        <is>
          <t>шт.</t>
        </is>
      </c>
      <c r="O76" s="50">
        <f>P76+Q76+S76+V76</f>
        <v/>
      </c>
      <c r="P76" s="49" t="n"/>
      <c r="Q76" s="49" t="n">
        <v>6</v>
      </c>
      <c r="R76" s="49" t="n">
        <v>6</v>
      </c>
      <c r="S76" s="49" t="n"/>
      <c r="T76" s="49" t="n"/>
      <c r="U76" s="49" t="n"/>
      <c r="V76" s="49" t="n"/>
      <c r="W76" s="50" t="n">
        <v>1</v>
      </c>
      <c r="X76" s="26" t="n">
        <v>5040070405</v>
      </c>
      <c r="Y76" s="26" t="n">
        <v>772201001</v>
      </c>
      <c r="Z76" s="26" t="inlineStr">
        <is>
          <t>ООО "ЛУИС+"</t>
        </is>
      </c>
      <c r="AA76" s="51" t="inlineStr">
        <is>
          <t>ГТ</t>
        </is>
      </c>
      <c r="AB76" s="188" t="n"/>
      <c r="AC76" s="189" t="n"/>
      <c r="AD76" s="190">
        <f>SUM(AB76:AC76)</f>
        <v/>
      </c>
      <c r="AE76" s="190">
        <f>AB76*$O76*$W76</f>
        <v/>
      </c>
      <c r="AF76" s="190">
        <f>AC76*$O76*$W76</f>
        <v/>
      </c>
      <c r="AG76" s="190">
        <f>SUM(AE76:AF76)</f>
        <v/>
      </c>
      <c r="AH76" s="182" t="n"/>
    </row>
    <row r="77" outlineLevel="1" ht="25.5" customHeight="1">
      <c r="A77" s="18" t="inlineStr">
        <is>
          <t>О</t>
        </is>
      </c>
      <c r="B77" s="11">
        <f>IF($K77=B$8,1+IF(OFFSET(B77,-1,0)="",0,OFFSET(B77,-1,0)),IF(B$8&lt;$K77,IF(OFFSET(B77,-1,0)="","ERR",OFFSET(B77,-1,0)),""))</f>
        <v/>
      </c>
      <c r="C77" s="11">
        <f>IF($K77=C$8,1+IF(OFFSET(C77,-1,0)="",0,OFFSET(C77,-1,0)),IF(C$8&lt;$K77,IF(OFFSET(C77,-1,0)="","ERR",OFFSET(C77,-1,0)),""))</f>
        <v/>
      </c>
      <c r="D77" s="11">
        <f>IF($K77=D$8,1+IF(OFFSET(D77,-1,0)="",0,OFFSET(D77,-1,0)),IF(D$8&lt;$K77,IF(OFFSET(D77,-1,0)="","ERR",OFFSET(D77,-1,0)),""))</f>
        <v/>
      </c>
      <c r="E77" s="11">
        <f>IF($K77=E$8,1+IF(OFFSET(E77,-1,0)="",0,OFFSET(E77,-1,0)),IF(E$8&lt;$K77,IF(OFFSET(E77,-1,0)="","ERR",OFFSET(E77,-1,0)),""))</f>
        <v/>
      </c>
      <c r="F77" s="11">
        <f>IF($K77=F$8,1+IF(OFFSET(F77,-1,0)="",0,OFFSET(F77,-1,0)),IF(F$8&lt;$K77,IF(OFFSET(F77,-1,0)="","ERR",OFFSET(F77,-1,0)),""))</f>
        <v/>
      </c>
      <c r="G77" s="11">
        <f>IF($K77=G$8,1+IF(OFFSET(G77,-1,0)="",0,OFFSET(G77,-1,0)),IF(G$8&lt;$K77,IF(OFFSET(G77,-1,0)="","ERR",OFFSET(G77,-1,0)),""))</f>
        <v/>
      </c>
      <c r="H77" s="11">
        <f>IF($K77=H$8,1+IF(OFFSET(H77,-1,0)="",0,OFFSET(H77,-1,0)),IF(H$8&lt;$K77,IF(OFFSET(H77,-1,0)="","ERR",OFFSET(H77,-1,0)),""))</f>
        <v/>
      </c>
      <c r="I77" s="11">
        <f>IF($K77=I$8,1+IF(OFFSET(I77,-1,0)="",0,OFFSET(I77,-1,0)),IF(I$8&lt;$K77,IF(OFFSET(I77,-1,0)="","ERR",OFFSET(I77,-1,0)),""))</f>
        <v/>
      </c>
      <c r="J77" s="46">
        <f>_xlfn.TEXTJOIN(".",1,B77:I77)</f>
        <v/>
      </c>
      <c r="K77" s="46" t="inlineStr">
        <is>
          <t>Л7</t>
        </is>
      </c>
      <c r="L77" s="46" t="n"/>
      <c r="M77" s="47" t="inlineStr">
        <is>
          <t>Патч-корд U/UTP, категория 6, 2xRJ45/8p8c, неэкранированный, серый, LSZH, 0.3м, Cabeus PC-UTP-RJ45- Cat.6-0.3m-LSZH, 8875c, Cabeus</t>
        </is>
      </c>
      <c r="N77" s="46" t="inlineStr">
        <is>
          <t>шт.</t>
        </is>
      </c>
      <c r="O77" s="94">
        <f>P77+Q77+S77+V77</f>
        <v/>
      </c>
      <c r="P77" s="46" t="n"/>
      <c r="Q77" s="46" t="n">
        <v>15</v>
      </c>
      <c r="R77" s="46" t="n">
        <v>15</v>
      </c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8" t="n"/>
      <c r="AB77" s="179" t="n"/>
      <c r="AC77" s="189" t="n"/>
      <c r="AD77" s="189">
        <f>SUM(AB77:AC77)</f>
        <v/>
      </c>
      <c r="AE77" s="189">
        <f>AB77*$O77</f>
        <v/>
      </c>
      <c r="AF77" s="189">
        <f>AC77*$O77</f>
        <v/>
      </c>
      <c r="AG77" s="189">
        <f>SUM(AE77:AF77)</f>
        <v/>
      </c>
      <c r="AH77" s="182" t="n"/>
    </row>
    <row r="78" outlineLevel="1">
      <c r="A78" s="18" t="inlineStr">
        <is>
          <t>О</t>
        </is>
      </c>
      <c r="B78" s="11">
        <f>IF($K78=B$8,1+IF(OFFSET(B78,-1,0)="",0,OFFSET(B78,-1,0)),IF(B$8&lt;$K78,IF(OFFSET(B78,-1,0)="","ERR",OFFSET(B78,-1,0)),""))</f>
        <v/>
      </c>
      <c r="C78" s="11">
        <f>IF($K78=C$8,1+IF(OFFSET(C78,-1,0)="",0,OFFSET(C78,-1,0)),IF(C$8&lt;$K78,IF(OFFSET(C78,-1,0)="","ERR",OFFSET(C78,-1,0)),""))</f>
        <v/>
      </c>
      <c r="D78" s="11">
        <f>IF($K78=D$8,1+IF(OFFSET(D78,-1,0)="",0,OFFSET(D78,-1,0)),IF(D$8&lt;$K78,IF(OFFSET(D78,-1,0)="","ERR",OFFSET(D78,-1,0)),""))</f>
        <v/>
      </c>
      <c r="E78" s="11">
        <f>IF($K78=E$8,1+IF(OFFSET(E78,-1,0)="",0,OFFSET(E78,-1,0)),IF(E$8&lt;$K78,IF(OFFSET(E78,-1,0)="","ERR",OFFSET(E78,-1,0)),""))</f>
        <v/>
      </c>
      <c r="F78" s="11">
        <f>IF($K78=F$8,1+IF(OFFSET(F78,-1,0)="",0,OFFSET(F78,-1,0)),IF(F$8&lt;$K78,IF(OFFSET(F78,-1,0)="","ERR",OFFSET(F78,-1,0)),""))</f>
        <v/>
      </c>
      <c r="G78" s="11">
        <f>IF($K78=G$8,1+IF(OFFSET(G78,-1,0)="",0,OFFSET(G78,-1,0)),IF(G$8&lt;$K78,IF(OFFSET(G78,-1,0)="","ERR",OFFSET(G78,-1,0)),""))</f>
        <v/>
      </c>
      <c r="H78" s="11">
        <f>IF($K78=H$8,1+IF(OFFSET(H78,-1,0)="",0,OFFSET(H78,-1,0)),IF(H$8&lt;$K78,IF(OFFSET(H78,-1,0)="","ERR",OFFSET(H78,-1,0)),""))</f>
        <v/>
      </c>
      <c r="I78" s="11">
        <f>IF($K78=I$8,1+IF(OFFSET(I78,-1,0)="",0,OFFSET(I78,-1,0)),IF(I$8&lt;$K78,IF(OFFSET(I78,-1,0)="","ERR",OFFSET(I78,-1,0)),""))</f>
        <v/>
      </c>
      <c r="J78" s="46">
        <f>_xlfn.TEXTJOIN(".",1,B78:I78)</f>
        <v/>
      </c>
      <c r="K78" s="46" t="inlineStr">
        <is>
          <t>Л7</t>
        </is>
      </c>
      <c r="L78" s="46" t="n"/>
      <c r="M78" s="47" t="inlineStr">
        <is>
          <t>Шнур оптический duplex  LC-LC 9/125 sm 1м LSZH, Cabeus FOP(d)-9-LC-LC-1m, Cabeus</t>
        </is>
      </c>
      <c r="N78" s="46" t="inlineStr">
        <is>
          <t>шт.</t>
        </is>
      </c>
      <c r="O78" s="94">
        <f>P78+Q78+S78+V78</f>
        <v/>
      </c>
      <c r="P78" s="46" t="n"/>
      <c r="Q78" s="46" t="n">
        <v>9</v>
      </c>
      <c r="R78" s="46" t="n">
        <v>9</v>
      </c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8" t="n"/>
      <c r="AB78" s="179" t="n"/>
      <c r="AC78" s="189" t="n"/>
      <c r="AD78" s="189">
        <f>SUM(AB78:AC78)</f>
        <v/>
      </c>
      <c r="AE78" s="189">
        <f>AB78*$O78</f>
        <v/>
      </c>
      <c r="AF78" s="189">
        <f>AC78*$O78</f>
        <v/>
      </c>
      <c r="AG78" s="189">
        <f>SUM(AE78:AF78)</f>
        <v/>
      </c>
      <c r="AH78" s="182" t="n"/>
    </row>
    <row r="79" outlineLevel="1">
      <c r="A79" s="18" t="inlineStr">
        <is>
          <t>О</t>
        </is>
      </c>
      <c r="B79" s="11">
        <f>IF($K79=B$8,1+IF(OFFSET(B79,-1,0)="",0,OFFSET(B79,-1,0)),IF(B$8&lt;$K79,IF(OFFSET(B79,-1,0)="","ERR",OFFSET(B79,-1,0)),""))</f>
        <v/>
      </c>
      <c r="C79" s="11">
        <f>IF($K79=C$8,1+IF(OFFSET(C79,-1,0)="",0,OFFSET(C79,-1,0)),IF(C$8&lt;$K79,IF(OFFSET(C79,-1,0)="","ERR",OFFSET(C79,-1,0)),""))</f>
        <v/>
      </c>
      <c r="D79" s="11">
        <f>IF($K79=D$8,1+IF(OFFSET(D79,-1,0)="",0,OFFSET(D79,-1,0)),IF(D$8&lt;$K79,IF(OFFSET(D79,-1,0)="","ERR",OFFSET(D79,-1,0)),""))</f>
        <v/>
      </c>
      <c r="E79" s="11">
        <f>IF($K79=E$8,1+IF(OFFSET(E79,-1,0)="",0,OFFSET(E79,-1,0)),IF(E$8&lt;$K79,IF(OFFSET(E79,-1,0)="","ERR",OFFSET(E79,-1,0)),""))</f>
        <v/>
      </c>
      <c r="F79" s="11">
        <f>IF($K79=F$8,1+IF(OFFSET(F79,-1,0)="",0,OFFSET(F79,-1,0)),IF(F$8&lt;$K79,IF(OFFSET(F79,-1,0)="","ERR",OFFSET(F79,-1,0)),""))</f>
        <v/>
      </c>
      <c r="G79" s="11">
        <f>IF($K79=G$8,1+IF(OFFSET(G79,-1,0)="",0,OFFSET(G79,-1,0)),IF(G$8&lt;$K79,IF(OFFSET(G79,-1,0)="","ERR",OFFSET(G79,-1,0)),""))</f>
        <v/>
      </c>
      <c r="H79" s="11">
        <f>IF($K79=H$8,1+IF(OFFSET(H79,-1,0)="",0,OFFSET(H79,-1,0)),IF(H$8&lt;$K79,IF(OFFSET(H79,-1,0)="","ERR",OFFSET(H79,-1,0)),""))</f>
        <v/>
      </c>
      <c r="I79" s="11">
        <f>IF($K79=I$8,1+IF(OFFSET(I79,-1,0)="",0,OFFSET(I79,-1,0)),IF(I$8&lt;$K79,IF(OFFSET(I79,-1,0)="","ERR",OFFSET(I79,-1,0)),""))</f>
        <v/>
      </c>
      <c r="J79" s="46">
        <f>_xlfn.TEXTJOIN(".",1,B79:I79)</f>
        <v/>
      </c>
      <c r="K79" s="46" t="inlineStr">
        <is>
          <t>Л7</t>
        </is>
      </c>
      <c r="L79" s="46" t="n"/>
      <c r="M79" s="47" t="inlineStr">
        <is>
          <t>Ролики для напольных шкафов нагрузка до 600 кг, ШТК-М-150, ТМ «ЦМО»</t>
        </is>
      </c>
      <c r="N79" s="46" t="inlineStr">
        <is>
          <t>шт.</t>
        </is>
      </c>
      <c r="O79" s="94">
        <f>P79+Q79+S79+V79</f>
        <v/>
      </c>
      <c r="P79" s="46" t="n"/>
      <c r="Q79" s="46" t="n">
        <v>1</v>
      </c>
      <c r="R79" s="46" t="n">
        <v>1</v>
      </c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8" t="n"/>
      <c r="AB79" s="179" t="n"/>
      <c r="AC79" s="189" t="n"/>
      <c r="AD79" s="189">
        <f>SUM(AB79:AC79)</f>
        <v/>
      </c>
      <c r="AE79" s="189">
        <f>AB79*$O79</f>
        <v/>
      </c>
      <c r="AF79" s="189">
        <f>AC79*$O79</f>
        <v/>
      </c>
      <c r="AG79" s="189">
        <f>SUM(AE79:AF79)</f>
        <v/>
      </c>
      <c r="AH79" s="182" t="n"/>
    </row>
    <row r="80" outlineLevel="1">
      <c r="A80" s="18" t="inlineStr">
        <is>
          <t>О</t>
        </is>
      </c>
      <c r="B80" s="11">
        <f>IF($K80=B$8,1+IF(OFFSET(B80,-1,0)="",0,OFFSET(B80,-1,0)),IF(B$8&lt;$K80,IF(OFFSET(B80,-1,0)="","ERR",OFFSET(B80,-1,0)),""))</f>
        <v/>
      </c>
      <c r="C80" s="11">
        <f>IF($K80=C$8,1+IF(OFFSET(C80,-1,0)="",0,OFFSET(C80,-1,0)),IF(C$8&lt;$K80,IF(OFFSET(C80,-1,0)="","ERR",OFFSET(C80,-1,0)),""))</f>
        <v/>
      </c>
      <c r="D80" s="11">
        <f>IF($K80=D$8,1+IF(OFFSET(D80,-1,0)="",0,OFFSET(D80,-1,0)),IF(D$8&lt;$K80,IF(OFFSET(D80,-1,0)="","ERR",OFFSET(D80,-1,0)),""))</f>
        <v/>
      </c>
      <c r="E80" s="11">
        <f>IF($K80=E$8,1+IF(OFFSET(E80,-1,0)="",0,OFFSET(E80,-1,0)),IF(E$8&lt;$K80,IF(OFFSET(E80,-1,0)="","ERR",OFFSET(E80,-1,0)),""))</f>
        <v/>
      </c>
      <c r="F80" s="11">
        <f>IF($K80=F$8,1+IF(OFFSET(F80,-1,0)="",0,OFFSET(F80,-1,0)),IF(F$8&lt;$K80,IF(OFFSET(F80,-1,0)="","ERR",OFFSET(F80,-1,0)),""))</f>
        <v/>
      </c>
      <c r="G80" s="11">
        <f>IF($K80=G$8,1+IF(OFFSET(G80,-1,0)="",0,OFFSET(G80,-1,0)),IF(G$8&lt;$K80,IF(OFFSET(G80,-1,0)="","ERR",OFFSET(G80,-1,0)),""))</f>
        <v/>
      </c>
      <c r="H80" s="11">
        <f>IF($K80=H$8,1+IF(OFFSET(H80,-1,0)="",0,OFFSET(H80,-1,0)),IF(H$8&lt;$K80,IF(OFFSET(H80,-1,0)="","ERR",OFFSET(H80,-1,0)),""))</f>
        <v/>
      </c>
      <c r="I80" s="11">
        <f>IF($K80=I$8,1+IF(OFFSET(I80,-1,0)="",0,OFFSET(I80,-1,0)),IF(I$8&lt;$K80,IF(OFFSET(I80,-1,0)="","ERR",OFFSET(I80,-1,0)),""))</f>
        <v/>
      </c>
      <c r="J80" s="46">
        <f>_xlfn.TEXTJOIN(".",1,B80:I80)</f>
        <v/>
      </c>
      <c r="K80" s="46" t="inlineStr">
        <is>
          <t>Л7</t>
        </is>
      </c>
      <c r="L80" s="46" t="n"/>
      <c r="M80" s="47" t="inlineStr">
        <is>
          <t>Кабель питания C13 - CEE 7/7, 1.2м, Cabeus PC-186-VDE-1.0-1.2M, Cabeus</t>
        </is>
      </c>
      <c r="N80" s="46" t="inlineStr">
        <is>
          <t>шт.</t>
        </is>
      </c>
      <c r="O80" s="94">
        <f>P80+Q80+S80+V80</f>
        <v/>
      </c>
      <c r="P80" s="46" t="n"/>
      <c r="Q80" s="46" t="n">
        <v>2</v>
      </c>
      <c r="R80" s="46" t="n">
        <v>2</v>
      </c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8" t="n"/>
      <c r="AB80" s="179" t="n"/>
      <c r="AC80" s="189" t="n"/>
      <c r="AD80" s="189">
        <f>SUM(AB80:AC80)</f>
        <v/>
      </c>
      <c r="AE80" s="189">
        <f>AB80*$O80</f>
        <v/>
      </c>
      <c r="AF80" s="189">
        <f>AC80*$O80</f>
        <v/>
      </c>
      <c r="AG80" s="189">
        <f>SUM(AE80:AF80)</f>
        <v/>
      </c>
      <c r="AH80" s="182" t="n"/>
    </row>
    <row r="81" outlineLevel="1">
      <c r="A81" s="18" t="inlineStr">
        <is>
          <t>О</t>
        </is>
      </c>
      <c r="B81" s="11">
        <f>IF($K81=B$8,1+IF(OFFSET(B81,-1,0)="",0,OFFSET(B81,-1,0)),IF(B$8&lt;$K81,IF(OFFSET(B81,-1,0)="","ERR",OFFSET(B81,-1,0)),""))</f>
        <v/>
      </c>
      <c r="C81" s="11">
        <f>IF($K81=C$8,1+IF(OFFSET(C81,-1,0)="",0,OFFSET(C81,-1,0)),IF(C$8&lt;$K81,IF(OFFSET(C81,-1,0)="","ERR",OFFSET(C81,-1,0)),""))</f>
        <v/>
      </c>
      <c r="D81" s="11">
        <f>IF($K81=D$8,1+IF(OFFSET(D81,-1,0)="",0,OFFSET(D81,-1,0)),IF(D$8&lt;$K81,IF(OFFSET(D81,-1,0)="","ERR",OFFSET(D81,-1,0)),""))</f>
        <v/>
      </c>
      <c r="E81" s="11">
        <f>IF($K81=E$8,1+IF(OFFSET(E81,-1,0)="",0,OFFSET(E81,-1,0)),IF(E$8&lt;$K81,IF(OFFSET(E81,-1,0)="","ERR",OFFSET(E81,-1,0)),""))</f>
        <v/>
      </c>
      <c r="F81" s="11">
        <f>IF($K81=F$8,1+IF(OFFSET(F81,-1,0)="",0,OFFSET(F81,-1,0)),IF(F$8&lt;$K81,IF(OFFSET(F81,-1,0)="","ERR",OFFSET(F81,-1,0)),""))</f>
        <v/>
      </c>
      <c r="G81" s="11">
        <f>IF($K81=G$8,1+IF(OFFSET(G81,-1,0)="",0,OFFSET(G81,-1,0)),IF(G$8&lt;$K81,IF(OFFSET(G81,-1,0)="","ERR",OFFSET(G81,-1,0)),""))</f>
        <v/>
      </c>
      <c r="H81" s="11">
        <f>IF($K81=H$8,1+IF(OFFSET(H81,-1,0)="",0,OFFSET(H81,-1,0)),IF(H$8&lt;$K81,IF(OFFSET(H81,-1,0)="","ERR",OFFSET(H81,-1,0)),""))</f>
        <v/>
      </c>
      <c r="I81" s="11">
        <f>IF($K81=I$8,1+IF(OFFSET(I81,-1,0)="",0,OFFSET(I81,-1,0)),IF(I$8&lt;$K81,IF(OFFSET(I81,-1,0)="","ERR",OFFSET(I81,-1,0)),""))</f>
        <v/>
      </c>
      <c r="J81" s="46">
        <f>_xlfn.TEXTJOIN(".",1,B81:I81)</f>
        <v/>
      </c>
      <c r="K81" s="46" t="inlineStr">
        <is>
          <t>Л7</t>
        </is>
      </c>
      <c r="L81" s="46" t="n"/>
      <c r="M81" s="47" t="inlineStr">
        <is>
          <t>Розетка компьютерная RJ-45, кат. 6, одинарная, внешняя, Dual IDC., WS-8P8C-Cat.6-1, Cabeus</t>
        </is>
      </c>
      <c r="N81" s="46" t="inlineStr">
        <is>
          <t>шт.</t>
        </is>
      </c>
      <c r="O81" s="94">
        <f>P81+Q81+S81+V81</f>
        <v/>
      </c>
      <c r="P81" s="46" t="n"/>
      <c r="Q81" s="46" t="n">
        <v>6</v>
      </c>
      <c r="R81" s="46" t="n">
        <v>6</v>
      </c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8" t="n"/>
      <c r="AB81" s="179" t="n"/>
      <c r="AC81" s="189" t="n"/>
      <c r="AD81" s="189">
        <f>SUM(AB81:AC81)</f>
        <v/>
      </c>
      <c r="AE81" s="189">
        <f>AB81*$O81</f>
        <v/>
      </c>
      <c r="AF81" s="189">
        <f>AC81*$O81</f>
        <v/>
      </c>
      <c r="AG81" s="189">
        <f>SUM(AE81:AF81)</f>
        <v/>
      </c>
      <c r="AH81" s="182" t="n"/>
    </row>
    <row r="82" outlineLevel="1">
      <c r="A82" s="18" t="inlineStr">
        <is>
          <t>О</t>
        </is>
      </c>
      <c r="B82" s="11">
        <f>IF($K82=B$8,1+IF(OFFSET(B82,-1,0)="",0,OFFSET(B82,-1,0)),IF(B$8&lt;$K82,IF(OFFSET(B82,-1,0)="","ERR",OFFSET(B82,-1,0)),""))</f>
        <v/>
      </c>
      <c r="C82" s="11">
        <f>IF($K82=C$8,1+IF(OFFSET(C82,-1,0)="",0,OFFSET(C82,-1,0)),IF(C$8&lt;$K82,IF(OFFSET(C82,-1,0)="","ERR",OFFSET(C82,-1,0)),""))</f>
        <v/>
      </c>
      <c r="D82" s="11">
        <f>IF($K82=D$8,1+IF(OFFSET(D82,-1,0)="",0,OFFSET(D82,-1,0)),IF(D$8&lt;$K82,IF(OFFSET(D82,-1,0)="","ERR",OFFSET(D82,-1,0)),""))</f>
        <v/>
      </c>
      <c r="E82" s="11">
        <f>IF($K82=E$8,1+IF(OFFSET(E82,-1,0)="",0,OFFSET(E82,-1,0)),IF(E$8&lt;$K82,IF(OFFSET(E82,-1,0)="","ERR",OFFSET(E82,-1,0)),""))</f>
        <v/>
      </c>
      <c r="F82" s="11">
        <f>IF($K82=F$8,1+IF(OFFSET(F82,-1,0)="",0,OFFSET(F82,-1,0)),IF(F$8&lt;$K82,IF(OFFSET(F82,-1,0)="","ERR",OFFSET(F82,-1,0)),""))</f>
        <v/>
      </c>
      <c r="G82" s="11">
        <f>IF($K82=G$8,1+IF(OFFSET(G82,-1,0)="",0,OFFSET(G82,-1,0)),IF(G$8&lt;$K82,IF(OFFSET(G82,-1,0)="","ERR",OFFSET(G82,-1,0)),""))</f>
        <v/>
      </c>
      <c r="H82" s="11">
        <f>IF($K82=H$8,1+IF(OFFSET(H82,-1,0)="",0,OFFSET(H82,-1,0)),IF(H$8&lt;$K82,IF(OFFSET(H82,-1,0)="","ERR",OFFSET(H82,-1,0)),""))</f>
        <v/>
      </c>
      <c r="I82" s="11">
        <f>IF($K82=I$8,1+IF(OFFSET(I82,-1,0)="",0,OFFSET(I82,-1,0)),IF(I$8&lt;$K82,IF(OFFSET(I82,-1,0)="","ERR",OFFSET(I82,-1,0)),""))</f>
        <v/>
      </c>
      <c r="J82" s="46">
        <f>_xlfn.TEXTJOIN(".",1,B82:I82)</f>
        <v/>
      </c>
      <c r="K82" s="46" t="inlineStr">
        <is>
          <t>Л7</t>
        </is>
      </c>
      <c r="L82" s="46" t="n"/>
      <c r="M82" s="64" t="inlineStr">
        <is>
          <t>Сопутствующие и прочие материалы*</t>
        </is>
      </c>
      <c r="N82" s="46" t="inlineStr">
        <is>
          <t>компл</t>
        </is>
      </c>
      <c r="O82" s="94">
        <f>P82+Q82+S82+V82</f>
        <v/>
      </c>
      <c r="P82" s="46" t="n"/>
      <c r="Q82" s="46" t="n">
        <v>1</v>
      </c>
      <c r="R82" s="46" t="n">
        <v>1</v>
      </c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8" t="n"/>
      <c r="AB82" s="179" t="n"/>
      <c r="AC82" s="189" t="n"/>
      <c r="AD82" s="189">
        <f>SUM(AB82:AC82)</f>
        <v/>
      </c>
      <c r="AE82" s="189">
        <f>AB82*$O82</f>
        <v/>
      </c>
      <c r="AF82" s="189">
        <f>AC82*$O82</f>
        <v/>
      </c>
      <c r="AG82" s="189">
        <f>SUM(AE82:AF82)</f>
        <v/>
      </c>
      <c r="AH82" s="182" t="n"/>
    </row>
    <row r="83" outlineLevel="1">
      <c r="A83" s="18" t="inlineStr">
        <is>
          <t>О</t>
        </is>
      </c>
      <c r="B83" s="11">
        <f>IF($K83=B$8,1+IF(OFFSET(B83,-1,0)="",0,OFFSET(B83,-1,0)),IF(B$8&lt;$K83,IF(OFFSET(B83,-1,0)="","ERR",OFFSET(B83,-1,0)),""))</f>
        <v/>
      </c>
      <c r="C83" s="11">
        <f>IF($K83=C$8,1+IF(OFFSET(C83,-1,0)="",0,OFFSET(C83,-1,0)),IF(C$8&lt;$K83,IF(OFFSET(C83,-1,0)="","ERR",OFFSET(C83,-1,0)),""))</f>
        <v/>
      </c>
      <c r="D83" s="11">
        <f>IF($K83=D$8,1+IF(OFFSET(D83,-1,0)="",0,OFFSET(D83,-1,0)),IF(D$8&lt;$K83,IF(OFFSET(D83,-1,0)="","ERR",OFFSET(D83,-1,0)),""))</f>
        <v/>
      </c>
      <c r="E83" s="11">
        <f>IF($K83=E$8,1+IF(OFFSET(E83,-1,0)="",0,OFFSET(E83,-1,0)),IF(E$8&lt;$K83,IF(OFFSET(E83,-1,0)="","ERR",OFFSET(E83,-1,0)),""))</f>
        <v/>
      </c>
      <c r="F83" s="11">
        <f>IF($K83=F$8,1+IF(OFFSET(F83,-1,0)="",0,OFFSET(F83,-1,0)),IF(F$8&lt;$K83,IF(OFFSET(F83,-1,0)="","ERR",OFFSET(F83,-1,0)),""))</f>
        <v/>
      </c>
      <c r="G83" s="11">
        <f>IF($K83=G$8,1+IF(OFFSET(G83,-1,0)="",0,OFFSET(G83,-1,0)),IF(G$8&lt;$K83,IF(OFFSET(G83,-1,0)="","ERR",OFFSET(G83,-1,0)),""))</f>
        <v/>
      </c>
      <c r="H83" s="11">
        <f>IF($K83=H$8,1+IF(OFFSET(H83,-1,0)="",0,OFFSET(H83,-1,0)),IF(H$8&lt;$K83,IF(OFFSET(H83,-1,0)="","ERR",OFFSET(H83,-1,0)),""))</f>
        <v/>
      </c>
      <c r="I83" s="11">
        <f>IF($K83=I$8,1+IF(OFFSET(I83,-1,0)="",0,OFFSET(I83,-1,0)),IF(I$8&lt;$K83,IF(OFFSET(I83,-1,0)="","ERR",OFFSET(I83,-1,0)),""))</f>
        <v/>
      </c>
      <c r="J83" s="46">
        <f>_xlfn.TEXTJOIN(".",1,B83:I83)</f>
        <v/>
      </c>
      <c r="K83" s="46" t="inlineStr">
        <is>
          <t>Л6</t>
        </is>
      </c>
      <c r="L83" s="46" t="inlineStr">
        <is>
          <t>3.3.3.7.1.1</t>
        </is>
      </c>
      <c r="M83" s="47" t="inlineStr">
        <is>
          <t>Монтаж телекоммуникационного шкафа/стойка (ТШ) напольного комплектного</t>
        </is>
      </c>
      <c r="N83" s="46" t="inlineStr">
        <is>
          <t>компл</t>
        </is>
      </c>
      <c r="O83" s="94">
        <f>P83+Q83+S83+V83</f>
        <v/>
      </c>
      <c r="P83" s="46" t="n"/>
      <c r="Q83" s="46" t="n"/>
      <c r="R83" s="46" t="n"/>
      <c r="S83" s="46" t="n">
        <v>1</v>
      </c>
      <c r="T83" s="46" t="n">
        <v>1</v>
      </c>
      <c r="U83" s="46" t="n"/>
      <c r="V83" s="46" t="n"/>
      <c r="W83" s="46" t="n"/>
      <c r="X83" s="46" t="n"/>
      <c r="Y83" s="46" t="n"/>
      <c r="Z83" s="46" t="n"/>
      <c r="AA83" s="48" t="inlineStr">
        <is>
          <t>ТШ СКС 5</t>
        </is>
      </c>
      <c r="AB83" s="187" t="n"/>
      <c r="AC83" s="180" t="n">
        <v>95000</v>
      </c>
      <c r="AD83" s="189">
        <f>SUM(AB83:AC83)</f>
        <v/>
      </c>
      <c r="AE83" s="189">
        <f>AB83*$O83</f>
        <v/>
      </c>
      <c r="AF83" s="189">
        <f>AC83*$O83</f>
        <v/>
      </c>
      <c r="AG83" s="189">
        <f>SUM(AE83:AF83)</f>
        <v/>
      </c>
      <c r="AH83" s="182" t="n"/>
    </row>
    <row r="84" outlineLevel="1">
      <c r="A84" s="18" t="inlineStr">
        <is>
          <t>О</t>
        </is>
      </c>
      <c r="B84" s="11">
        <f>IF($K84=B$8,1+IF(OFFSET(B84,-1,0)="",0,OFFSET(B84,-1,0)),IF(B$8&lt;$K84,IF(OFFSET(B84,-1,0)="","ERR",OFFSET(B84,-1,0)),""))</f>
        <v/>
      </c>
      <c r="C84" s="11">
        <f>IF($K84=C$8,1+IF(OFFSET(C84,-1,0)="",0,OFFSET(C84,-1,0)),IF(C$8&lt;$K84,IF(OFFSET(C84,-1,0)="","ERR",OFFSET(C84,-1,0)),""))</f>
        <v/>
      </c>
      <c r="D84" s="11">
        <f>IF($K84=D$8,1+IF(OFFSET(D84,-1,0)="",0,OFFSET(D84,-1,0)),IF(D$8&lt;$K84,IF(OFFSET(D84,-1,0)="","ERR",OFFSET(D84,-1,0)),""))</f>
        <v/>
      </c>
      <c r="E84" s="11">
        <f>IF($K84=E$8,1+IF(OFFSET(E84,-1,0)="",0,OFFSET(E84,-1,0)),IF(E$8&lt;$K84,IF(OFFSET(E84,-1,0)="","ERR",OFFSET(E84,-1,0)),""))</f>
        <v/>
      </c>
      <c r="F84" s="11">
        <f>IF($K84=F$8,1+IF(OFFSET(F84,-1,0)="",0,OFFSET(F84,-1,0)),IF(F$8&lt;$K84,IF(OFFSET(F84,-1,0)="","ERR",OFFSET(F84,-1,0)),""))</f>
        <v/>
      </c>
      <c r="G84" s="11">
        <f>IF($K84=G$8,1+IF(OFFSET(G84,-1,0)="",0,OFFSET(G84,-1,0)),IF(G$8&lt;$K84,IF(OFFSET(G84,-1,0)="","ERR",OFFSET(G84,-1,0)),""))</f>
        <v/>
      </c>
      <c r="H84" s="11">
        <f>IF($K84=H$8,1+IF(OFFSET(H84,-1,0)="",0,OFFSET(H84,-1,0)),IF(H$8&lt;$K84,IF(OFFSET(H84,-1,0)="","ERR",OFFSET(H84,-1,0)),""))</f>
        <v/>
      </c>
      <c r="I84" s="11">
        <f>IF($K84=I$8,1+IF(OFFSET(I84,-1,0)="",0,OFFSET(I84,-1,0)),IF(I$8&lt;$K84,IF(OFFSET(I84,-1,0)="","ERR",OFFSET(I84,-1,0)),""))</f>
        <v/>
      </c>
      <c r="J84" s="46">
        <f>_xlfn.TEXTJOIN(".",1,B84:I84)</f>
        <v/>
      </c>
      <c r="K84" s="46" t="inlineStr">
        <is>
          <t>Л7</t>
        </is>
      </c>
      <c r="L84" s="46" t="n"/>
      <c r="M84" s="47" t="inlineStr">
        <is>
          <t>Шкаф телекоммуникационный 19", напольный, 42U, 600х800 мм , ШТК-М-42.6.8-1ААА-9005, ТМ «ЦМО»</t>
        </is>
      </c>
      <c r="N84" s="46" t="inlineStr">
        <is>
          <t>шт.</t>
        </is>
      </c>
      <c r="O84" s="94">
        <f>P84+Q84+S84+V84</f>
        <v/>
      </c>
      <c r="P84" s="46" t="n"/>
      <c r="Q84" s="46" t="n"/>
      <c r="R84" s="46" t="n"/>
      <c r="S84" s="46" t="n">
        <v>1</v>
      </c>
      <c r="T84" s="46" t="n">
        <v>1</v>
      </c>
      <c r="U84" s="46" t="n"/>
      <c r="V84" s="46" t="n"/>
      <c r="W84" s="46" t="n"/>
      <c r="X84" s="46" t="n"/>
      <c r="Y84" s="46" t="n"/>
      <c r="Z84" s="46" t="n"/>
      <c r="AA84" s="48" t="n"/>
      <c r="AB84" s="179" t="n"/>
      <c r="AC84" s="189" t="n"/>
      <c r="AD84" s="189">
        <f>SUM(AB84:AC84)</f>
        <v/>
      </c>
      <c r="AE84" s="189">
        <f>AB84*$O84</f>
        <v/>
      </c>
      <c r="AF84" s="189">
        <f>AC84*$O84</f>
        <v/>
      </c>
      <c r="AG84" s="189">
        <f>SUM(AE84:AF84)</f>
        <v/>
      </c>
      <c r="AH84" s="182" t="n"/>
    </row>
    <row r="85" outlineLevel="1">
      <c r="A85" s="18" t="inlineStr">
        <is>
          <t>О</t>
        </is>
      </c>
      <c r="B85" s="11">
        <f>IF($K85=B$8,1+IF(OFFSET(B85,-1,0)="",0,OFFSET(B85,-1,0)),IF(B$8&lt;$K85,IF(OFFSET(B85,-1,0)="","ERR",OFFSET(B85,-1,0)),""))</f>
        <v/>
      </c>
      <c r="C85" s="11">
        <f>IF($K85=C$8,1+IF(OFFSET(C85,-1,0)="",0,OFFSET(C85,-1,0)),IF(C$8&lt;$K85,IF(OFFSET(C85,-1,0)="","ERR",OFFSET(C85,-1,0)),""))</f>
        <v/>
      </c>
      <c r="D85" s="11">
        <f>IF($K85=D$8,1+IF(OFFSET(D85,-1,0)="",0,OFFSET(D85,-1,0)),IF(D$8&lt;$K85,IF(OFFSET(D85,-1,0)="","ERR",OFFSET(D85,-1,0)),""))</f>
        <v/>
      </c>
      <c r="E85" s="11">
        <f>IF($K85=E$8,1+IF(OFFSET(E85,-1,0)="",0,OFFSET(E85,-1,0)),IF(E$8&lt;$K85,IF(OFFSET(E85,-1,0)="","ERR",OFFSET(E85,-1,0)),""))</f>
        <v/>
      </c>
      <c r="F85" s="11">
        <f>IF($K85=F$8,1+IF(OFFSET(F85,-1,0)="",0,OFFSET(F85,-1,0)),IF(F$8&lt;$K85,IF(OFFSET(F85,-1,0)="","ERR",OFFSET(F85,-1,0)),""))</f>
        <v/>
      </c>
      <c r="G85" s="11">
        <f>IF($K85=G$8,1+IF(OFFSET(G85,-1,0)="",0,OFFSET(G85,-1,0)),IF(G$8&lt;$K85,IF(OFFSET(G85,-1,0)="","ERR",OFFSET(G85,-1,0)),""))</f>
        <v/>
      </c>
      <c r="H85" s="11">
        <f>IF($K85=H$8,1+IF(OFFSET(H85,-1,0)="",0,OFFSET(H85,-1,0)),IF(H$8&lt;$K85,IF(OFFSET(H85,-1,0)="","ERR",OFFSET(H85,-1,0)),""))</f>
        <v/>
      </c>
      <c r="I85" s="11">
        <f>IF($K85=I$8,1+IF(OFFSET(I85,-1,0)="",0,OFFSET(I85,-1,0)),IF(I$8&lt;$K85,IF(OFFSET(I85,-1,0)="","ERR",OFFSET(I85,-1,0)),""))</f>
        <v/>
      </c>
      <c r="J85" s="46">
        <f>_xlfn.TEXTJOIN(".",1,B85:I85)</f>
        <v/>
      </c>
      <c r="K85" s="46" t="inlineStr">
        <is>
          <t>Л7</t>
        </is>
      </c>
      <c r="L85" s="46" t="n"/>
      <c r="M85" s="47" t="inlineStr">
        <is>
          <t>Модули вентиляторные потолочные, R-FAN-3T, ТМ «ЦМО»</t>
        </is>
      </c>
      <c r="N85" s="46" t="inlineStr">
        <is>
          <t>шт.</t>
        </is>
      </c>
      <c r="O85" s="94">
        <f>P85+Q85+S85+V85</f>
        <v/>
      </c>
      <c r="P85" s="46" t="n"/>
      <c r="Q85" s="46" t="n"/>
      <c r="R85" s="46" t="n"/>
      <c r="S85" s="46" t="n">
        <v>2</v>
      </c>
      <c r="T85" s="46" t="n">
        <v>2</v>
      </c>
      <c r="U85" s="46" t="n"/>
      <c r="V85" s="46" t="n"/>
      <c r="W85" s="46" t="n"/>
      <c r="X85" s="46" t="n"/>
      <c r="Y85" s="46" t="n"/>
      <c r="Z85" s="46" t="n"/>
      <c r="AA85" s="48" t="n"/>
      <c r="AB85" s="179" t="n"/>
      <c r="AC85" s="189" t="n"/>
      <c r="AD85" s="189">
        <f>SUM(AB85:AC85)</f>
        <v/>
      </c>
      <c r="AE85" s="189">
        <f>AB85*$O85</f>
        <v/>
      </c>
      <c r="AF85" s="189">
        <f>AC85*$O85</f>
        <v/>
      </c>
      <c r="AG85" s="189">
        <f>SUM(AE85:AF85)</f>
        <v/>
      </c>
      <c r="AH85" s="182" t="n"/>
    </row>
    <row r="86" outlineLevel="1">
      <c r="A86" s="18" t="inlineStr">
        <is>
          <t>О</t>
        </is>
      </c>
      <c r="B86" s="11">
        <f>IF($K86=B$8,1+IF(OFFSET(B86,-1,0)="",0,OFFSET(B86,-1,0)),IF(B$8&lt;$K86,IF(OFFSET(B86,-1,0)="","ERR",OFFSET(B86,-1,0)),""))</f>
        <v/>
      </c>
      <c r="C86" s="11">
        <f>IF($K86=C$8,1+IF(OFFSET(C86,-1,0)="",0,OFFSET(C86,-1,0)),IF(C$8&lt;$K86,IF(OFFSET(C86,-1,0)="","ERR",OFFSET(C86,-1,0)),""))</f>
        <v/>
      </c>
      <c r="D86" s="11">
        <f>IF($K86=D$8,1+IF(OFFSET(D86,-1,0)="",0,OFFSET(D86,-1,0)),IF(D$8&lt;$K86,IF(OFFSET(D86,-1,0)="","ERR",OFFSET(D86,-1,0)),""))</f>
        <v/>
      </c>
      <c r="E86" s="11">
        <f>IF($K86=E$8,1+IF(OFFSET(E86,-1,0)="",0,OFFSET(E86,-1,0)),IF(E$8&lt;$K86,IF(OFFSET(E86,-1,0)="","ERR",OFFSET(E86,-1,0)),""))</f>
        <v/>
      </c>
      <c r="F86" s="11">
        <f>IF($K86=F$8,1+IF(OFFSET(F86,-1,0)="",0,OFFSET(F86,-1,0)),IF(F$8&lt;$K86,IF(OFFSET(F86,-1,0)="","ERR",OFFSET(F86,-1,0)),""))</f>
        <v/>
      </c>
      <c r="G86" s="11">
        <f>IF($K86=G$8,1+IF(OFFSET(G86,-1,0)="",0,OFFSET(G86,-1,0)),IF(G$8&lt;$K86,IF(OFFSET(G86,-1,0)="","ERR",OFFSET(G86,-1,0)),""))</f>
        <v/>
      </c>
      <c r="H86" s="11">
        <f>IF($K86=H$8,1+IF(OFFSET(H86,-1,0)="",0,OFFSET(H86,-1,0)),IF(H$8&lt;$K86,IF(OFFSET(H86,-1,0)="","ERR",OFFSET(H86,-1,0)),""))</f>
        <v/>
      </c>
      <c r="I86" s="11">
        <f>IF($K86=I$8,1+IF(OFFSET(I86,-1,0)="",0,OFFSET(I86,-1,0)),IF(I$8&lt;$K86,IF(OFFSET(I86,-1,0)="","ERR",OFFSET(I86,-1,0)),""))</f>
        <v/>
      </c>
      <c r="J86" s="46">
        <f>_xlfn.TEXTJOIN(".",1,B86:I86)</f>
        <v/>
      </c>
      <c r="K86" s="46" t="inlineStr">
        <is>
          <t>Л7</t>
        </is>
      </c>
      <c r="L86" s="46" t="n"/>
      <c r="M86" s="47" t="inlineStr">
        <is>
          <t>Панель осветительная светодиодная, цвет черный, R-LED-220-B, ТМ «ЦМО»</t>
        </is>
      </c>
      <c r="N86" s="46" t="inlineStr">
        <is>
          <t>шт.</t>
        </is>
      </c>
      <c r="O86" s="94">
        <f>P86+Q86+S86+V86</f>
        <v/>
      </c>
      <c r="P86" s="46" t="n"/>
      <c r="Q86" s="46" t="n"/>
      <c r="R86" s="46" t="n"/>
      <c r="S86" s="46" t="n">
        <v>1</v>
      </c>
      <c r="T86" s="46" t="n">
        <v>1</v>
      </c>
      <c r="U86" s="46" t="n"/>
      <c r="V86" s="46" t="n"/>
      <c r="W86" s="46" t="n"/>
      <c r="X86" s="46" t="n"/>
      <c r="Y86" s="46" t="n"/>
      <c r="Z86" s="46" t="n"/>
      <c r="AA86" s="48" t="n"/>
      <c r="AB86" s="179" t="n"/>
      <c r="AC86" s="189" t="n"/>
      <c r="AD86" s="189">
        <f>SUM(AB86:AC86)</f>
        <v/>
      </c>
      <c r="AE86" s="189">
        <f>AB86*$O86</f>
        <v/>
      </c>
      <c r="AF86" s="189">
        <f>AC86*$O86</f>
        <v/>
      </c>
      <c r="AG86" s="189">
        <f>SUM(AE86:AF86)</f>
        <v/>
      </c>
      <c r="AH86" s="182" t="n"/>
    </row>
    <row r="87" outlineLevel="1" ht="25.5" customHeight="1">
      <c r="A87" s="18" t="inlineStr">
        <is>
          <t>О</t>
        </is>
      </c>
      <c r="B87" s="11">
        <f>IF($K87=B$8,1+IF(OFFSET(B87,-1,0)="",0,OFFSET(B87,-1,0)),IF(B$8&lt;$K87,IF(OFFSET(B87,-1,0)="","ERR",OFFSET(B87,-1,0)),""))</f>
        <v/>
      </c>
      <c r="C87" s="11">
        <f>IF($K87=C$8,1+IF(OFFSET(C87,-1,0)="",0,OFFSET(C87,-1,0)),IF(C$8&lt;$K87,IF(OFFSET(C87,-1,0)="","ERR",OFFSET(C87,-1,0)),""))</f>
        <v/>
      </c>
      <c r="D87" s="11">
        <f>IF($K87=D$8,1+IF(OFFSET(D87,-1,0)="",0,OFFSET(D87,-1,0)),IF(D$8&lt;$K87,IF(OFFSET(D87,-1,0)="","ERR",OFFSET(D87,-1,0)),""))</f>
        <v/>
      </c>
      <c r="E87" s="11">
        <f>IF($K87=E$8,1+IF(OFFSET(E87,-1,0)="",0,OFFSET(E87,-1,0)),IF(E$8&lt;$K87,IF(OFFSET(E87,-1,0)="","ERR",OFFSET(E87,-1,0)),""))</f>
        <v/>
      </c>
      <c r="F87" s="11">
        <f>IF($K87=F$8,1+IF(OFFSET(F87,-1,0)="",0,OFFSET(F87,-1,0)),IF(F$8&lt;$K87,IF(OFFSET(F87,-1,0)="","ERR",OFFSET(F87,-1,0)),""))</f>
        <v/>
      </c>
      <c r="G87" s="11">
        <f>IF($K87=G$8,1+IF(OFFSET(G87,-1,0)="",0,OFFSET(G87,-1,0)),IF(G$8&lt;$K87,IF(OFFSET(G87,-1,0)="","ERR",OFFSET(G87,-1,0)),""))</f>
        <v/>
      </c>
      <c r="H87" s="11">
        <f>IF($K87=H$8,1+IF(OFFSET(H87,-1,0)="",0,OFFSET(H87,-1,0)),IF(H$8&lt;$K87,IF(OFFSET(H87,-1,0)="","ERR",OFFSET(H87,-1,0)),""))</f>
        <v/>
      </c>
      <c r="I87" s="11">
        <f>IF($K87=I$8,1+IF(OFFSET(I87,-1,0)="",0,OFFSET(I87,-1,0)),IF(I$8&lt;$K87,IF(OFFSET(I87,-1,0)="","ERR",OFFSET(I87,-1,0)),""))</f>
        <v/>
      </c>
      <c r="J87" s="52">
        <f>_xlfn.TEXTJOIN(".",1,B87:I87)</f>
        <v/>
      </c>
      <c r="K87" s="52" t="inlineStr">
        <is>
          <t>Л7</t>
        </is>
      </c>
      <c r="L87" s="52" t="n"/>
      <c r="M8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87" s="52" t="inlineStr">
        <is>
          <t>шт.</t>
        </is>
      </c>
      <c r="O87" s="73">
        <f>P87+Q87+S87+V87</f>
        <v/>
      </c>
      <c r="P87" s="52" t="n"/>
      <c r="Q87" s="52" t="n"/>
      <c r="R87" s="52" t="n"/>
      <c r="S87" s="52" t="n">
        <v>1</v>
      </c>
      <c r="T87" s="52" t="n">
        <v>1</v>
      </c>
      <c r="U87" s="52" t="n"/>
      <c r="V87" s="52" t="n"/>
      <c r="W87" s="52" t="n"/>
      <c r="X87" s="52" t="n"/>
      <c r="Y87" s="52" t="n"/>
      <c r="Z87" s="52" t="n"/>
      <c r="AA87" s="54" t="n"/>
      <c r="AB87" s="179" t="n"/>
      <c r="AC87" s="189" t="n"/>
      <c r="AD87" s="189">
        <f>SUM(AB87:AC87)</f>
        <v/>
      </c>
      <c r="AE87" s="189">
        <f>AB87*$O87</f>
        <v/>
      </c>
      <c r="AF87" s="189">
        <f>AC87*$O87</f>
        <v/>
      </c>
      <c r="AG87" s="189">
        <f>SUM(AE87:AF87)</f>
        <v/>
      </c>
      <c r="AH87" s="182" t="n"/>
    </row>
    <row r="88" outlineLevel="1">
      <c r="A88" s="18" t="inlineStr">
        <is>
          <t>О</t>
        </is>
      </c>
      <c r="B88" s="11">
        <f>IF($K88=B$8,1+IF(OFFSET(B88,-1,0)="",0,OFFSET(B88,-1,0)),IF(B$8&lt;$K88,IF(OFFSET(B88,-1,0)="","ERR",OFFSET(B88,-1,0)),""))</f>
        <v/>
      </c>
      <c r="C88" s="11">
        <f>IF($K88=C$8,1+IF(OFFSET(C88,-1,0)="",0,OFFSET(C88,-1,0)),IF(C$8&lt;$K88,IF(OFFSET(C88,-1,0)="","ERR",OFFSET(C88,-1,0)),""))</f>
        <v/>
      </c>
      <c r="D88" s="11">
        <f>IF($K88=D$8,1+IF(OFFSET(D88,-1,0)="",0,OFFSET(D88,-1,0)),IF(D$8&lt;$K88,IF(OFFSET(D88,-1,0)="","ERR",OFFSET(D88,-1,0)),""))</f>
        <v/>
      </c>
      <c r="E88" s="11">
        <f>IF($K88=E$8,1+IF(OFFSET(E88,-1,0)="",0,OFFSET(E88,-1,0)),IF(E$8&lt;$K88,IF(OFFSET(E88,-1,0)="","ERR",OFFSET(E88,-1,0)),""))</f>
        <v/>
      </c>
      <c r="F88" s="11">
        <f>IF($K88=F$8,1+IF(OFFSET(F88,-1,0)="",0,OFFSET(F88,-1,0)),IF(F$8&lt;$K88,IF(OFFSET(F88,-1,0)="","ERR",OFFSET(F88,-1,0)),""))</f>
        <v/>
      </c>
      <c r="G88" s="11">
        <f>IF($K88=G$8,1+IF(OFFSET(G88,-1,0)="",0,OFFSET(G88,-1,0)),IF(G$8&lt;$K88,IF(OFFSET(G88,-1,0)="","ERR",OFFSET(G88,-1,0)),""))</f>
        <v/>
      </c>
      <c r="H88" s="11">
        <f>IF($K88=H$8,1+IF(OFFSET(H88,-1,0)="",0,OFFSET(H88,-1,0)),IF(H$8&lt;$K88,IF(OFFSET(H88,-1,0)="","ERR",OFFSET(H88,-1,0)),""))</f>
        <v/>
      </c>
      <c r="I88" s="11">
        <f>IF($K88=I$8,1+IF(OFFSET(I88,-1,0)="",0,OFFSET(I88,-1,0)),IF(I$8&lt;$K88,IF(OFFSET(I88,-1,0)="","ERR",OFFSET(I88,-1,0)),""))</f>
        <v/>
      </c>
      <c r="J88" s="46">
        <f>_xlfn.TEXTJOIN(".",1,B88:I88)</f>
        <v/>
      </c>
      <c r="K88" s="46" t="inlineStr">
        <is>
          <t>Л7</t>
        </is>
      </c>
      <c r="L88" s="46" t="n"/>
      <c r="M88" s="47" t="inlineStr">
        <is>
          <t>Кабельный органайзер 19" 1U, ГКО-4.62-9005, ТМ «ЦМО»</t>
        </is>
      </c>
      <c r="N88" s="46" t="inlineStr">
        <is>
          <t>шт.</t>
        </is>
      </c>
      <c r="O88" s="94">
        <f>P88+Q88+S88+V88</f>
        <v/>
      </c>
      <c r="P88" s="46" t="n"/>
      <c r="Q88" s="46" t="n"/>
      <c r="R88" s="46" t="n"/>
      <c r="S88" s="46" t="n">
        <v>3</v>
      </c>
      <c r="T88" s="46" t="n">
        <v>3</v>
      </c>
      <c r="U88" s="46" t="n"/>
      <c r="V88" s="46" t="n"/>
      <c r="W88" s="46" t="n"/>
      <c r="X88" s="46" t="n"/>
      <c r="Y88" s="46" t="n"/>
      <c r="Z88" s="46" t="n"/>
      <c r="AA88" s="48" t="n"/>
      <c r="AB88" s="179" t="n"/>
      <c r="AC88" s="189" t="n"/>
      <c r="AD88" s="189">
        <f>SUM(AB88:AC88)</f>
        <v/>
      </c>
      <c r="AE88" s="189">
        <f>AB88*$O88</f>
        <v/>
      </c>
      <c r="AF88" s="189">
        <f>AC88*$O88</f>
        <v/>
      </c>
      <c r="AG88" s="189">
        <f>SUM(AE88:AF88)</f>
        <v/>
      </c>
      <c r="AH88" s="182" t="n"/>
    </row>
    <row r="89" outlineLevel="1" ht="25.5" customHeight="1">
      <c r="A89" s="18" t="inlineStr">
        <is>
          <t>О</t>
        </is>
      </c>
      <c r="B89" s="11">
        <f>IF($K89=B$8,1+IF(OFFSET(B89,-1,0)="",0,OFFSET(B89,-1,0)),IF(B$8&lt;$K89,IF(OFFSET(B89,-1,0)="","ERR",OFFSET(B89,-1,0)),""))</f>
        <v/>
      </c>
      <c r="C89" s="11">
        <f>IF($K89=C$8,1+IF(OFFSET(C89,-1,0)="",0,OFFSET(C89,-1,0)),IF(C$8&lt;$K89,IF(OFFSET(C89,-1,0)="","ERR",OFFSET(C89,-1,0)),""))</f>
        <v/>
      </c>
      <c r="D89" s="11">
        <f>IF($K89=D$8,1+IF(OFFSET(D89,-1,0)="",0,OFFSET(D89,-1,0)),IF(D$8&lt;$K89,IF(OFFSET(D89,-1,0)="","ERR",OFFSET(D89,-1,0)),""))</f>
        <v/>
      </c>
      <c r="E89" s="11">
        <f>IF($K89=E$8,1+IF(OFFSET(E89,-1,0)="",0,OFFSET(E89,-1,0)),IF(E$8&lt;$K89,IF(OFFSET(E89,-1,0)="","ERR",OFFSET(E89,-1,0)),""))</f>
        <v/>
      </c>
      <c r="F89" s="11">
        <f>IF($K89=F$8,1+IF(OFFSET(F89,-1,0)="",0,OFFSET(F89,-1,0)),IF(F$8&lt;$K89,IF(OFFSET(F89,-1,0)="","ERR",OFFSET(F89,-1,0)),""))</f>
        <v/>
      </c>
      <c r="G89" s="11">
        <f>IF($K89=G$8,1+IF(OFFSET(G89,-1,0)="",0,OFFSET(G89,-1,0)),IF(G$8&lt;$K89,IF(OFFSET(G89,-1,0)="","ERR",OFFSET(G89,-1,0)),""))</f>
        <v/>
      </c>
      <c r="H89" s="11">
        <f>IF($K89=H$8,1+IF(OFFSET(H89,-1,0)="",0,OFFSET(H89,-1,0)),IF(H$8&lt;$K89,IF(OFFSET(H89,-1,0)="","ERR",OFFSET(H89,-1,0)),""))</f>
        <v/>
      </c>
      <c r="I89" s="11">
        <f>IF($K89=I$8,1+IF(OFFSET(I89,-1,0)="",0,OFFSET(I89,-1,0)),IF(I$8&lt;$K89,IF(OFFSET(I89,-1,0)="","ERR",OFFSET(I89,-1,0)),""))</f>
        <v/>
      </c>
      <c r="J89" s="49">
        <f>_xlfn.TEXTJOIN(".",1,B89:I89)</f>
        <v/>
      </c>
      <c r="K89" s="49" t="inlineStr">
        <is>
          <t>Л7</t>
        </is>
      </c>
      <c r="L89" s="49" t="n"/>
      <c r="M8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89" s="49" t="inlineStr">
        <is>
          <t>шт.</t>
        </is>
      </c>
      <c r="O89" s="50">
        <f>P89+Q89+S89+V89</f>
        <v/>
      </c>
      <c r="P89" s="49" t="n"/>
      <c r="Q89" s="49" t="n"/>
      <c r="R89" s="49" t="n"/>
      <c r="S89" s="49" t="n">
        <v>1</v>
      </c>
      <c r="T89" s="49" t="n">
        <v>1</v>
      </c>
      <c r="U89" s="49" t="n"/>
      <c r="V89" s="49" t="n"/>
      <c r="W89" s="50" t="n">
        <v>1</v>
      </c>
      <c r="X89" s="26" t="n">
        <v>5040070405</v>
      </c>
      <c r="Y89" s="26" t="n">
        <v>772201001</v>
      </c>
      <c r="Z89" s="26" t="inlineStr">
        <is>
          <t>ООО "ЛУИС+"</t>
        </is>
      </c>
      <c r="AA89" s="51" t="inlineStr">
        <is>
          <t>ГТ</t>
        </is>
      </c>
      <c r="AB89" s="188" t="n"/>
      <c r="AC89" s="189" t="n"/>
      <c r="AD89" s="190">
        <f>SUM(AB89:AC89)</f>
        <v/>
      </c>
      <c r="AE89" s="190">
        <f>AB89*$O89*$W89</f>
        <v/>
      </c>
      <c r="AF89" s="190">
        <f>AC89*$O89*$W89</f>
        <v/>
      </c>
      <c r="AG89" s="190">
        <f>SUM(AE89:AF89)</f>
        <v/>
      </c>
      <c r="AH89" s="182" t="n"/>
    </row>
    <row r="90" outlineLevel="1" ht="25.5" customHeight="1">
      <c r="A90" s="18" t="inlineStr">
        <is>
          <t>О</t>
        </is>
      </c>
      <c r="B90" s="11">
        <f>IF($K90=B$8,1+IF(OFFSET(B90,-1,0)="",0,OFFSET(B90,-1,0)),IF(B$8&lt;$K90,IF(OFFSET(B90,-1,0)="","ERR",OFFSET(B90,-1,0)),""))</f>
        <v/>
      </c>
      <c r="C90" s="11">
        <f>IF($K90=C$8,1+IF(OFFSET(C90,-1,0)="",0,OFFSET(C90,-1,0)),IF(C$8&lt;$K90,IF(OFFSET(C90,-1,0)="","ERR",OFFSET(C90,-1,0)),""))</f>
        <v/>
      </c>
      <c r="D90" s="11">
        <f>IF($K90=D$8,1+IF(OFFSET(D90,-1,0)="",0,OFFSET(D90,-1,0)),IF(D$8&lt;$K90,IF(OFFSET(D90,-1,0)="","ERR",OFFSET(D90,-1,0)),""))</f>
        <v/>
      </c>
      <c r="E90" s="11">
        <f>IF($K90=E$8,1+IF(OFFSET(E90,-1,0)="",0,OFFSET(E90,-1,0)),IF(E$8&lt;$K90,IF(OFFSET(E90,-1,0)="","ERR",OFFSET(E90,-1,0)),""))</f>
        <v/>
      </c>
      <c r="F90" s="11">
        <f>IF($K90=F$8,1+IF(OFFSET(F90,-1,0)="",0,OFFSET(F90,-1,0)),IF(F$8&lt;$K90,IF(OFFSET(F90,-1,0)="","ERR",OFFSET(F90,-1,0)),""))</f>
        <v/>
      </c>
      <c r="G90" s="11">
        <f>IF($K90=G$8,1+IF(OFFSET(G90,-1,0)="",0,OFFSET(G90,-1,0)),IF(G$8&lt;$K90,IF(OFFSET(G90,-1,0)="","ERR",OFFSET(G90,-1,0)),""))</f>
        <v/>
      </c>
      <c r="H90" s="11">
        <f>IF($K90=H$8,1+IF(OFFSET(H90,-1,0)="",0,OFFSET(H90,-1,0)),IF(H$8&lt;$K90,IF(OFFSET(H90,-1,0)="","ERR",OFFSET(H90,-1,0)),""))</f>
        <v/>
      </c>
      <c r="I90" s="11">
        <f>IF($K90=I$8,1+IF(OFFSET(I90,-1,0)="",0,OFFSET(I90,-1,0)),IF(I$8&lt;$K90,IF(OFFSET(I90,-1,0)="","ERR",OFFSET(I90,-1,0)),""))</f>
        <v/>
      </c>
      <c r="J90" s="49">
        <f>_xlfn.TEXTJOIN(".",1,B90:I90)</f>
        <v/>
      </c>
      <c r="K90" s="49" t="inlineStr">
        <is>
          <t>Л7</t>
        </is>
      </c>
      <c r="L90" s="49" t="n"/>
      <c r="M90" s="63" t="inlineStr">
        <is>
          <t>L2 коммутатор с 24 портами PoE 100 Мбит/с и 2 портами combo Uplink 1000 Мбит/с RJ-45/SFP, LTV-3S24G4C-MP, LTV</t>
        </is>
      </c>
      <c r="N90" s="49" t="inlineStr">
        <is>
          <t>шт.</t>
        </is>
      </c>
      <c r="O90" s="50">
        <f>P90+Q90+S90+V90</f>
        <v/>
      </c>
      <c r="P90" s="49" t="n"/>
      <c r="Q90" s="49" t="n"/>
      <c r="R90" s="49" t="n"/>
      <c r="S90" s="49" t="n">
        <v>1</v>
      </c>
      <c r="T90" s="49" t="n">
        <v>1</v>
      </c>
      <c r="U90" s="49" t="n"/>
      <c r="V90" s="49" t="n"/>
      <c r="W90" s="50" t="n">
        <v>1</v>
      </c>
      <c r="X90" s="26" t="n">
        <v>5040070405</v>
      </c>
      <c r="Y90" s="26" t="n">
        <v>772201001</v>
      </c>
      <c r="Z90" s="26" t="inlineStr">
        <is>
          <t>ООО "ЛУИС+"</t>
        </is>
      </c>
      <c r="AA90" s="51" t="inlineStr">
        <is>
          <t>ГТ</t>
        </is>
      </c>
      <c r="AB90" s="188" t="n"/>
      <c r="AC90" s="189" t="n"/>
      <c r="AD90" s="190">
        <f>SUM(AB90:AC90)</f>
        <v/>
      </c>
      <c r="AE90" s="190">
        <f>AB90*$O90*$W90</f>
        <v/>
      </c>
      <c r="AF90" s="190">
        <f>AC90*$O90*$W90</f>
        <v/>
      </c>
      <c r="AG90" s="190">
        <f>SUM(AE90:AF90)</f>
        <v/>
      </c>
      <c r="AH90" s="182" t="n"/>
    </row>
    <row r="91" outlineLevel="1">
      <c r="A91" s="18" t="inlineStr">
        <is>
          <t>О</t>
        </is>
      </c>
      <c r="B91" s="11">
        <f>IF($K91=B$8,1+IF(OFFSET(B91,-1,0)="",0,OFFSET(B91,-1,0)),IF(B$8&lt;$K91,IF(OFFSET(B91,-1,0)="","ERR",OFFSET(B91,-1,0)),""))</f>
        <v/>
      </c>
      <c r="C91" s="11">
        <f>IF($K91=C$8,1+IF(OFFSET(C91,-1,0)="",0,OFFSET(C91,-1,0)),IF(C$8&lt;$K91,IF(OFFSET(C91,-1,0)="","ERR",OFFSET(C91,-1,0)),""))</f>
        <v/>
      </c>
      <c r="D91" s="11">
        <f>IF($K91=D$8,1+IF(OFFSET(D91,-1,0)="",0,OFFSET(D91,-1,0)),IF(D$8&lt;$K91,IF(OFFSET(D91,-1,0)="","ERR",OFFSET(D91,-1,0)),""))</f>
        <v/>
      </c>
      <c r="E91" s="11">
        <f>IF($K91=E$8,1+IF(OFFSET(E91,-1,0)="",0,OFFSET(E91,-1,0)),IF(E$8&lt;$K91,IF(OFFSET(E91,-1,0)="","ERR",OFFSET(E91,-1,0)),""))</f>
        <v/>
      </c>
      <c r="F91" s="11">
        <f>IF($K91=F$8,1+IF(OFFSET(F91,-1,0)="",0,OFFSET(F91,-1,0)),IF(F$8&lt;$K91,IF(OFFSET(F91,-1,0)="","ERR",OFFSET(F91,-1,0)),""))</f>
        <v/>
      </c>
      <c r="G91" s="11">
        <f>IF($K91=G$8,1+IF(OFFSET(G91,-1,0)="",0,OFFSET(G91,-1,0)),IF(G$8&lt;$K91,IF(OFFSET(G91,-1,0)="","ERR",OFFSET(G91,-1,0)),""))</f>
        <v/>
      </c>
      <c r="H91" s="11">
        <f>IF($K91=H$8,1+IF(OFFSET(H91,-1,0)="",0,OFFSET(H91,-1,0)),IF(H$8&lt;$K91,IF(OFFSET(H91,-1,0)="","ERR",OFFSET(H91,-1,0)),""))</f>
        <v/>
      </c>
      <c r="I91" s="11">
        <f>IF($K91=I$8,1+IF(OFFSET(I91,-1,0)="",0,OFFSET(I91,-1,0)),IF(I$8&lt;$K91,IF(OFFSET(I91,-1,0)="","ERR",OFFSET(I91,-1,0)),""))</f>
        <v/>
      </c>
      <c r="J91" s="46">
        <f>_xlfn.TEXTJOIN(".",1,B91:I91)</f>
        <v/>
      </c>
      <c r="K91" s="46" t="inlineStr">
        <is>
          <t>Л7</t>
        </is>
      </c>
      <c r="L91" s="46" t="n"/>
      <c r="M91" s="47" t="inlineStr">
        <is>
          <t>Патч-панель 19" (1U), 24 порта RJ-45, категория 6, DUAL, PL-24-Cat.6-Dual, Cabeus</t>
        </is>
      </c>
      <c r="N91" s="46" t="inlineStr">
        <is>
          <t>шт.</t>
        </is>
      </c>
      <c r="O91" s="94">
        <f>P91+Q91+S91+V91</f>
        <v/>
      </c>
      <c r="P91" s="46" t="n"/>
      <c r="Q91" s="46" t="n"/>
      <c r="R91" s="46" t="n"/>
      <c r="S91" s="46" t="n">
        <v>1</v>
      </c>
      <c r="T91" s="46" t="n">
        <v>1</v>
      </c>
      <c r="U91" s="46" t="n"/>
      <c r="V91" s="46" t="n"/>
      <c r="W91" s="46" t="n"/>
      <c r="X91" s="46" t="n"/>
      <c r="Y91" s="46" t="n"/>
      <c r="Z91" s="46" t="n"/>
      <c r="AA91" s="48" t="n"/>
      <c r="AB91" s="179" t="n"/>
      <c r="AC91" s="189" t="n"/>
      <c r="AD91" s="189">
        <f>SUM(AB91:AC91)</f>
        <v/>
      </c>
      <c r="AE91" s="189">
        <f>AB91*$O91</f>
        <v/>
      </c>
      <c r="AF91" s="189">
        <f>AC91*$O91</f>
        <v/>
      </c>
      <c r="AG91" s="189">
        <f>SUM(AE91:AF91)</f>
        <v/>
      </c>
      <c r="AH91" s="182" t="n"/>
    </row>
    <row r="92" outlineLevel="1">
      <c r="A92" s="18" t="inlineStr">
        <is>
          <t>О</t>
        </is>
      </c>
      <c r="B92" s="11">
        <f>IF($K92=B$8,1+IF(OFFSET(B92,-1,0)="",0,OFFSET(B92,-1,0)),IF(B$8&lt;$K92,IF(OFFSET(B92,-1,0)="","ERR",OFFSET(B92,-1,0)),""))</f>
        <v/>
      </c>
      <c r="C92" s="11">
        <f>IF($K92=C$8,1+IF(OFFSET(C92,-1,0)="",0,OFFSET(C92,-1,0)),IF(C$8&lt;$K92,IF(OFFSET(C92,-1,0)="","ERR",OFFSET(C92,-1,0)),""))</f>
        <v/>
      </c>
      <c r="D92" s="11">
        <f>IF($K92=D$8,1+IF(OFFSET(D92,-1,0)="",0,OFFSET(D92,-1,0)),IF(D$8&lt;$K92,IF(OFFSET(D92,-1,0)="","ERR",OFFSET(D92,-1,0)),""))</f>
        <v/>
      </c>
      <c r="E92" s="11">
        <f>IF($K92=E$8,1+IF(OFFSET(E92,-1,0)="",0,OFFSET(E92,-1,0)),IF(E$8&lt;$K92,IF(OFFSET(E92,-1,0)="","ERR",OFFSET(E92,-1,0)),""))</f>
        <v/>
      </c>
      <c r="F92" s="11">
        <f>IF($K92=F$8,1+IF(OFFSET(F92,-1,0)="",0,OFFSET(F92,-1,0)),IF(F$8&lt;$K92,IF(OFFSET(F92,-1,0)="","ERR",OFFSET(F92,-1,0)),""))</f>
        <v/>
      </c>
      <c r="G92" s="11">
        <f>IF($K92=G$8,1+IF(OFFSET(G92,-1,0)="",0,OFFSET(G92,-1,0)),IF(G$8&lt;$K92,IF(OFFSET(G92,-1,0)="","ERR",OFFSET(G92,-1,0)),""))</f>
        <v/>
      </c>
      <c r="H92" s="11">
        <f>IF($K92=H$8,1+IF(OFFSET(H92,-1,0)="",0,OFFSET(H92,-1,0)),IF(H$8&lt;$K92,IF(OFFSET(H92,-1,0)="","ERR",OFFSET(H92,-1,0)),""))</f>
        <v/>
      </c>
      <c r="I92" s="11">
        <f>IF($K92=I$8,1+IF(OFFSET(I92,-1,0)="",0,OFFSET(I92,-1,0)),IF(I$8&lt;$K92,IF(OFFSET(I92,-1,0)="","ERR",OFFSET(I92,-1,0)),""))</f>
        <v/>
      </c>
      <c r="J92" s="46">
        <f>_xlfn.TEXTJOIN(".",1,B92:I92)</f>
        <v/>
      </c>
      <c r="K92" s="46" t="inlineStr">
        <is>
          <t>Л7</t>
        </is>
      </c>
      <c r="L92" s="46" t="n"/>
      <c r="M92" s="47" t="inlineStr">
        <is>
          <t>Розетка на DIN-рейку с защитным контактом, 16А, 2P, 220В, IP20, РМ-102 16А, Systeme Electric</t>
        </is>
      </c>
      <c r="N92" s="46" t="inlineStr">
        <is>
          <t>шт.</t>
        </is>
      </c>
      <c r="O92" s="94">
        <f>P92+Q92+S92+V92</f>
        <v/>
      </c>
      <c r="P92" s="46" t="n"/>
      <c r="Q92" s="46" t="n"/>
      <c r="R92" s="46" t="n"/>
      <c r="S92" s="46" t="n">
        <v>4</v>
      </c>
      <c r="T92" s="46" t="n">
        <v>4</v>
      </c>
      <c r="U92" s="46" t="n"/>
      <c r="V92" s="46" t="n"/>
      <c r="W92" s="46" t="n"/>
      <c r="X92" s="46" t="n"/>
      <c r="Y92" s="46" t="n"/>
      <c r="Z92" s="46" t="n"/>
      <c r="AA92" s="48" t="n"/>
      <c r="AB92" s="179" t="n"/>
      <c r="AC92" s="189" t="n"/>
      <c r="AD92" s="189">
        <f>SUM(AB92:AC92)</f>
        <v/>
      </c>
      <c r="AE92" s="189">
        <f>AB92*$O92</f>
        <v/>
      </c>
      <c r="AF92" s="189">
        <f>AC92*$O92</f>
        <v/>
      </c>
      <c r="AG92" s="189">
        <f>SUM(AE92:AF92)</f>
        <v/>
      </c>
      <c r="AH92" s="182" t="n"/>
    </row>
    <row r="93" outlineLevel="1">
      <c r="A93" s="18" t="inlineStr">
        <is>
          <t>О</t>
        </is>
      </c>
      <c r="B93" s="11">
        <f>IF($K93=B$8,1+IF(OFFSET(B93,-1,0)="",0,OFFSET(B93,-1,0)),IF(B$8&lt;$K93,IF(OFFSET(B93,-1,0)="","ERR",OFFSET(B93,-1,0)),""))</f>
        <v/>
      </c>
      <c r="C93" s="11">
        <f>IF($K93=C$8,1+IF(OFFSET(C93,-1,0)="",0,OFFSET(C93,-1,0)),IF(C$8&lt;$K93,IF(OFFSET(C93,-1,0)="","ERR",OFFSET(C93,-1,0)),""))</f>
        <v/>
      </c>
      <c r="D93" s="11">
        <f>IF($K93=D$8,1+IF(OFFSET(D93,-1,0)="",0,OFFSET(D93,-1,0)),IF(D$8&lt;$K93,IF(OFFSET(D93,-1,0)="","ERR",OFFSET(D93,-1,0)),""))</f>
        <v/>
      </c>
      <c r="E93" s="11">
        <f>IF($K93=E$8,1+IF(OFFSET(E93,-1,0)="",0,OFFSET(E93,-1,0)),IF(E$8&lt;$K93,IF(OFFSET(E93,-1,0)="","ERR",OFFSET(E93,-1,0)),""))</f>
        <v/>
      </c>
      <c r="F93" s="11">
        <f>IF($K93=F$8,1+IF(OFFSET(F93,-1,0)="",0,OFFSET(F93,-1,0)),IF(F$8&lt;$K93,IF(OFFSET(F93,-1,0)="","ERR",OFFSET(F93,-1,0)),""))</f>
        <v/>
      </c>
      <c r="G93" s="11">
        <f>IF($K93=G$8,1+IF(OFFSET(G93,-1,0)="",0,OFFSET(G93,-1,0)),IF(G$8&lt;$K93,IF(OFFSET(G93,-1,0)="","ERR",OFFSET(G93,-1,0)),""))</f>
        <v/>
      </c>
      <c r="H93" s="11">
        <f>IF($K93=H$8,1+IF(OFFSET(H93,-1,0)="",0,OFFSET(H93,-1,0)),IF(H$8&lt;$K93,IF(OFFSET(H93,-1,0)="","ERR",OFFSET(H93,-1,0)),""))</f>
        <v/>
      </c>
      <c r="I93" s="11">
        <f>IF($K93=I$8,1+IF(OFFSET(I93,-1,0)="",0,OFFSET(I93,-1,0)),IF(I$8&lt;$K93,IF(OFFSET(I93,-1,0)="","ERR",OFFSET(I93,-1,0)),""))</f>
        <v/>
      </c>
      <c r="J93" s="46">
        <f>_xlfn.TEXTJOIN(".",1,B93:I93)</f>
        <v/>
      </c>
      <c r="K93" s="46" t="inlineStr">
        <is>
          <t>Л7</t>
        </is>
      </c>
      <c r="L93" s="46" t="n"/>
      <c r="M93" s="47" t="inlineStr">
        <is>
          <t>Реле контроля однофазного напряжения на DIN-рейку, 1P, 12663, Systeme Electric</t>
        </is>
      </c>
      <c r="N93" s="46" t="inlineStr">
        <is>
          <t>шт.</t>
        </is>
      </c>
      <c r="O93" s="94">
        <f>P93+Q93+S93+V93</f>
        <v/>
      </c>
      <c r="P93" s="46" t="n"/>
      <c r="Q93" s="46" t="n"/>
      <c r="R93" s="46" t="n"/>
      <c r="S93" s="46" t="n">
        <v>1</v>
      </c>
      <c r="T93" s="46" t="n">
        <v>1</v>
      </c>
      <c r="U93" s="46" t="n"/>
      <c r="V93" s="46" t="n"/>
      <c r="W93" s="46" t="n"/>
      <c r="X93" s="46" t="n"/>
      <c r="Y93" s="46" t="n"/>
      <c r="Z93" s="46" t="n"/>
      <c r="AA93" s="48" t="n"/>
      <c r="AB93" s="179" t="n"/>
      <c r="AC93" s="189" t="n"/>
      <c r="AD93" s="189">
        <f>SUM(AB93:AC93)</f>
        <v/>
      </c>
      <c r="AE93" s="189">
        <f>AB93*$O93</f>
        <v/>
      </c>
      <c r="AF93" s="189">
        <f>AC93*$O93</f>
        <v/>
      </c>
      <c r="AG93" s="189">
        <f>SUM(AE93:AF93)</f>
        <v/>
      </c>
      <c r="AH93" s="182" t="n"/>
    </row>
    <row r="94" outlineLevel="1">
      <c r="A94" s="18" t="inlineStr">
        <is>
          <t>О</t>
        </is>
      </c>
      <c r="B94" s="11">
        <f>IF($K94=B$8,1+IF(OFFSET(B94,-1,0)="",0,OFFSET(B94,-1,0)),IF(B$8&lt;$K94,IF(OFFSET(B94,-1,0)="","ERR",OFFSET(B94,-1,0)),""))</f>
        <v/>
      </c>
      <c r="C94" s="11">
        <f>IF($K94=C$8,1+IF(OFFSET(C94,-1,0)="",0,OFFSET(C94,-1,0)),IF(C$8&lt;$K94,IF(OFFSET(C94,-1,0)="","ERR",OFFSET(C94,-1,0)),""))</f>
        <v/>
      </c>
      <c r="D94" s="11">
        <f>IF($K94=D$8,1+IF(OFFSET(D94,-1,0)="",0,OFFSET(D94,-1,0)),IF(D$8&lt;$K94,IF(OFFSET(D94,-1,0)="","ERR",OFFSET(D94,-1,0)),""))</f>
        <v/>
      </c>
      <c r="E94" s="11">
        <f>IF($K94=E$8,1+IF(OFFSET(E94,-1,0)="",0,OFFSET(E94,-1,0)),IF(E$8&lt;$K94,IF(OFFSET(E94,-1,0)="","ERR",OFFSET(E94,-1,0)),""))</f>
        <v/>
      </c>
      <c r="F94" s="11">
        <f>IF($K94=F$8,1+IF(OFFSET(F94,-1,0)="",0,OFFSET(F94,-1,0)),IF(F$8&lt;$K94,IF(OFFSET(F94,-1,0)="","ERR",OFFSET(F94,-1,0)),""))</f>
        <v/>
      </c>
      <c r="G94" s="11">
        <f>IF($K94=G$8,1+IF(OFFSET(G94,-1,0)="",0,OFFSET(G94,-1,0)),IF(G$8&lt;$K94,IF(OFFSET(G94,-1,0)="","ERR",OFFSET(G94,-1,0)),""))</f>
        <v/>
      </c>
      <c r="H94" s="11">
        <f>IF($K94=H$8,1+IF(OFFSET(H94,-1,0)="",0,OFFSET(H94,-1,0)),IF(H$8&lt;$K94,IF(OFFSET(H94,-1,0)="","ERR",OFFSET(H94,-1,0)),""))</f>
        <v/>
      </c>
      <c r="I94" s="11">
        <f>IF($K94=I$8,1+IF(OFFSET(I94,-1,0)="",0,OFFSET(I94,-1,0)),IF(I$8&lt;$K94,IF(OFFSET(I94,-1,0)="","ERR",OFFSET(I94,-1,0)),""))</f>
        <v/>
      </c>
      <c r="J94" s="46">
        <f>_xlfn.TEXTJOIN(".",1,B94:I94)</f>
        <v/>
      </c>
      <c r="K94" s="46" t="inlineStr">
        <is>
          <t>Л7</t>
        </is>
      </c>
      <c r="L94" s="46" t="n"/>
      <c r="M94" s="47" t="inlineStr">
        <is>
          <t>Выключатель автоматический на DIN-рейку, 16А, C, 1P, 1- модульный, C9F14116, Systeme Electric</t>
        </is>
      </c>
      <c r="N94" s="46" t="inlineStr">
        <is>
          <t>шт.</t>
        </is>
      </c>
      <c r="O94" s="94">
        <f>P94+Q94+S94+V94</f>
        <v/>
      </c>
      <c r="P94" s="46" t="n"/>
      <c r="Q94" s="46" t="n"/>
      <c r="R94" s="46" t="n"/>
      <c r="S94" s="46" t="n">
        <v>1</v>
      </c>
      <c r="T94" s="46" t="n">
        <v>1</v>
      </c>
      <c r="U94" s="46" t="n"/>
      <c r="V94" s="46" t="n"/>
      <c r="W94" s="46" t="n"/>
      <c r="X94" s="46" t="n"/>
      <c r="Y94" s="46" t="n"/>
      <c r="Z94" s="46" t="n"/>
      <c r="AA94" s="48" t="n"/>
      <c r="AB94" s="179" t="n"/>
      <c r="AC94" s="189" t="n"/>
      <c r="AD94" s="189">
        <f>SUM(AB94:AC94)</f>
        <v/>
      </c>
      <c r="AE94" s="189">
        <f>AB94*$O94</f>
        <v/>
      </c>
      <c r="AF94" s="189">
        <f>AC94*$O94</f>
        <v/>
      </c>
      <c r="AG94" s="189">
        <f>SUM(AE94:AF94)</f>
        <v/>
      </c>
      <c r="AH94" s="182" t="n"/>
    </row>
    <row r="95" outlineLevel="1">
      <c r="A95" s="18" t="inlineStr">
        <is>
          <t>О</t>
        </is>
      </c>
      <c r="B95" s="11">
        <f>IF($K95=B$8,1+IF(OFFSET(B95,-1,0)="",0,OFFSET(B95,-1,0)),IF(B$8&lt;$K95,IF(OFFSET(B95,-1,0)="","ERR",OFFSET(B95,-1,0)),""))</f>
        <v/>
      </c>
      <c r="C95" s="11">
        <f>IF($K95=C$8,1+IF(OFFSET(C95,-1,0)="",0,OFFSET(C95,-1,0)),IF(C$8&lt;$K95,IF(OFFSET(C95,-1,0)="","ERR",OFFSET(C95,-1,0)),""))</f>
        <v/>
      </c>
      <c r="D95" s="11">
        <f>IF($K95=D$8,1+IF(OFFSET(D95,-1,0)="",0,OFFSET(D95,-1,0)),IF(D$8&lt;$K95,IF(OFFSET(D95,-1,0)="","ERR",OFFSET(D95,-1,0)),""))</f>
        <v/>
      </c>
      <c r="E95" s="11">
        <f>IF($K95=E$8,1+IF(OFFSET(E95,-1,0)="",0,OFFSET(E95,-1,0)),IF(E$8&lt;$K95,IF(OFFSET(E95,-1,0)="","ERR",OFFSET(E95,-1,0)),""))</f>
        <v/>
      </c>
      <c r="F95" s="11">
        <f>IF($K95=F$8,1+IF(OFFSET(F95,-1,0)="",0,OFFSET(F95,-1,0)),IF(F$8&lt;$K95,IF(OFFSET(F95,-1,0)="","ERR",OFFSET(F95,-1,0)),""))</f>
        <v/>
      </c>
      <c r="G95" s="11">
        <f>IF($K95=G$8,1+IF(OFFSET(G95,-1,0)="",0,OFFSET(G95,-1,0)),IF(G$8&lt;$K95,IF(OFFSET(G95,-1,0)="","ERR",OFFSET(G95,-1,0)),""))</f>
        <v/>
      </c>
      <c r="H95" s="11">
        <f>IF($K95=H$8,1+IF(OFFSET(H95,-1,0)="",0,OFFSET(H95,-1,0)),IF(H$8&lt;$K95,IF(OFFSET(H95,-1,0)="","ERR",OFFSET(H95,-1,0)),""))</f>
        <v/>
      </c>
      <c r="I95" s="11">
        <f>IF($K95=I$8,1+IF(OFFSET(I95,-1,0)="",0,OFFSET(I95,-1,0)),IF(I$8&lt;$K95,IF(OFFSET(I95,-1,0)="","ERR",OFFSET(I95,-1,0)),""))</f>
        <v/>
      </c>
      <c r="J95" s="46">
        <f>_xlfn.TEXTJOIN(".",1,B95:I95)</f>
        <v/>
      </c>
      <c r="K95" s="46" t="inlineStr">
        <is>
          <t>Л7</t>
        </is>
      </c>
      <c r="L95" s="46" t="n"/>
      <c r="M95" s="47" t="inlineStr">
        <is>
          <t>Клеммник винтовой на DIN-рейку, NSYTRV22, Systeme Electric</t>
        </is>
      </c>
      <c r="N95" s="46" t="inlineStr">
        <is>
          <t>шт.</t>
        </is>
      </c>
      <c r="O95" s="94">
        <f>P95+Q95+S95+V95</f>
        <v/>
      </c>
      <c r="P95" s="46" t="n"/>
      <c r="Q95" s="46" t="n"/>
      <c r="R95" s="46" t="n"/>
      <c r="S95" s="46" t="n">
        <v>2</v>
      </c>
      <c r="T95" s="46" t="n">
        <v>2</v>
      </c>
      <c r="U95" s="46" t="n"/>
      <c r="V95" s="46" t="n"/>
      <c r="W95" s="46" t="n"/>
      <c r="X95" s="46" t="n"/>
      <c r="Y95" s="46" t="n"/>
      <c r="Z95" s="46" t="n"/>
      <c r="AA95" s="48" t="n"/>
      <c r="AB95" s="179" t="n"/>
      <c r="AC95" s="189" t="n"/>
      <c r="AD95" s="189">
        <f>SUM(AB95:AC95)</f>
        <v/>
      </c>
      <c r="AE95" s="189">
        <f>AB95*$O95</f>
        <v/>
      </c>
      <c r="AF95" s="189">
        <f>AC95*$O95</f>
        <v/>
      </c>
      <c r="AG95" s="189">
        <f>SUM(AE95:AF95)</f>
        <v/>
      </c>
      <c r="AH95" s="182" t="n"/>
    </row>
    <row r="96" outlineLevel="1">
      <c r="A96" s="18" t="inlineStr">
        <is>
          <t>О</t>
        </is>
      </c>
      <c r="B96" s="11">
        <f>IF($K96=B$8,1+IF(OFFSET(B96,-1,0)="",0,OFFSET(B96,-1,0)),IF(B$8&lt;$K96,IF(OFFSET(B96,-1,0)="","ERR",OFFSET(B96,-1,0)),""))</f>
        <v/>
      </c>
      <c r="C96" s="11">
        <f>IF($K96=C$8,1+IF(OFFSET(C96,-1,0)="",0,OFFSET(C96,-1,0)),IF(C$8&lt;$K96,IF(OFFSET(C96,-1,0)="","ERR",OFFSET(C96,-1,0)),""))</f>
        <v/>
      </c>
      <c r="D96" s="11">
        <f>IF($K96=D$8,1+IF(OFFSET(D96,-1,0)="",0,OFFSET(D96,-1,0)),IF(D$8&lt;$K96,IF(OFFSET(D96,-1,0)="","ERR",OFFSET(D96,-1,0)),""))</f>
        <v/>
      </c>
      <c r="E96" s="11">
        <f>IF($K96=E$8,1+IF(OFFSET(E96,-1,0)="",0,OFFSET(E96,-1,0)),IF(E$8&lt;$K96,IF(OFFSET(E96,-1,0)="","ERR",OFFSET(E96,-1,0)),""))</f>
        <v/>
      </c>
      <c r="F96" s="11">
        <f>IF($K96=F$8,1+IF(OFFSET(F96,-1,0)="",0,OFFSET(F96,-1,0)),IF(F$8&lt;$K96,IF(OFFSET(F96,-1,0)="","ERR",OFFSET(F96,-1,0)),""))</f>
        <v/>
      </c>
      <c r="G96" s="11">
        <f>IF($K96=G$8,1+IF(OFFSET(G96,-1,0)="",0,OFFSET(G96,-1,0)),IF(G$8&lt;$K96,IF(OFFSET(G96,-1,0)="","ERR",OFFSET(G96,-1,0)),""))</f>
        <v/>
      </c>
      <c r="H96" s="11">
        <f>IF($K96=H$8,1+IF(OFFSET(H96,-1,0)="",0,OFFSET(H96,-1,0)),IF(H$8&lt;$K96,IF(OFFSET(H96,-1,0)="","ERR",OFFSET(H96,-1,0)),""))</f>
        <v/>
      </c>
      <c r="I96" s="11">
        <f>IF($K96=I$8,1+IF(OFFSET(I96,-1,0)="",0,OFFSET(I96,-1,0)),IF(I$8&lt;$K96,IF(OFFSET(I96,-1,0)="","ERR",OFFSET(I96,-1,0)),""))</f>
        <v/>
      </c>
      <c r="J96" s="46">
        <f>_xlfn.TEXTJOIN(".",1,B96:I96)</f>
        <v/>
      </c>
      <c r="K96" s="46" t="inlineStr">
        <is>
          <t>Л7</t>
        </is>
      </c>
      <c r="L96" s="46" t="n"/>
      <c r="M96" s="47" t="inlineStr">
        <is>
          <t>19″ панель с DIN-рейкой 19", 3U, PS-3U, ТМ «ЦМО»</t>
        </is>
      </c>
      <c r="N96" s="46" t="inlineStr">
        <is>
          <t>шт.</t>
        </is>
      </c>
      <c r="O96" s="94">
        <f>P96+Q96+S96+V96</f>
        <v/>
      </c>
      <c r="P96" s="46" t="n"/>
      <c r="Q96" s="46" t="n"/>
      <c r="R96" s="46" t="n"/>
      <c r="S96" s="46" t="n">
        <v>1</v>
      </c>
      <c r="T96" s="46" t="n">
        <v>1</v>
      </c>
      <c r="U96" s="46" t="n"/>
      <c r="V96" s="46" t="n"/>
      <c r="W96" s="46" t="n"/>
      <c r="X96" s="46" t="n"/>
      <c r="Y96" s="46" t="n"/>
      <c r="Z96" s="46" t="n"/>
      <c r="AA96" s="48" t="n"/>
      <c r="AB96" s="179" t="n"/>
      <c r="AC96" s="189" t="n"/>
      <c r="AD96" s="189">
        <f>SUM(AB96:AC96)</f>
        <v/>
      </c>
      <c r="AE96" s="189">
        <f>AB96*$O96</f>
        <v/>
      </c>
      <c r="AF96" s="189">
        <f>AC96*$O96</f>
        <v/>
      </c>
      <c r="AG96" s="189">
        <f>SUM(AE96:AF96)</f>
        <v/>
      </c>
      <c r="AH96" s="182" t="n"/>
    </row>
    <row r="97" outlineLevel="1">
      <c r="A97" s="18" t="inlineStr">
        <is>
          <t>О</t>
        </is>
      </c>
      <c r="B97" s="11">
        <f>IF($K97=B$8,1+IF(OFFSET(B97,-1,0)="",0,OFFSET(B97,-1,0)),IF(B$8&lt;$K97,IF(OFFSET(B97,-1,0)="","ERR",OFFSET(B97,-1,0)),""))</f>
        <v/>
      </c>
      <c r="C97" s="11">
        <f>IF($K97=C$8,1+IF(OFFSET(C97,-1,0)="",0,OFFSET(C97,-1,0)),IF(C$8&lt;$K97,IF(OFFSET(C97,-1,0)="","ERR",OFFSET(C97,-1,0)),""))</f>
        <v/>
      </c>
      <c r="D97" s="11">
        <f>IF($K97=D$8,1+IF(OFFSET(D97,-1,0)="",0,OFFSET(D97,-1,0)),IF(D$8&lt;$K97,IF(OFFSET(D97,-1,0)="","ERR",OFFSET(D97,-1,0)),""))</f>
        <v/>
      </c>
      <c r="E97" s="11">
        <f>IF($K97=E$8,1+IF(OFFSET(E97,-1,0)="",0,OFFSET(E97,-1,0)),IF(E$8&lt;$K97,IF(OFFSET(E97,-1,0)="","ERR",OFFSET(E97,-1,0)),""))</f>
        <v/>
      </c>
      <c r="F97" s="11">
        <f>IF($K97=F$8,1+IF(OFFSET(F97,-1,0)="",0,OFFSET(F97,-1,0)),IF(F$8&lt;$K97,IF(OFFSET(F97,-1,0)="","ERR",OFFSET(F97,-1,0)),""))</f>
        <v/>
      </c>
      <c r="G97" s="11">
        <f>IF($K97=G$8,1+IF(OFFSET(G97,-1,0)="",0,OFFSET(G97,-1,0)),IF(G$8&lt;$K97,IF(OFFSET(G97,-1,0)="","ERR",OFFSET(G97,-1,0)),""))</f>
        <v/>
      </c>
      <c r="H97" s="11">
        <f>IF($K97=H$8,1+IF(OFFSET(H97,-1,0)="",0,OFFSET(H97,-1,0)),IF(H$8&lt;$K97,IF(OFFSET(H97,-1,0)="","ERR",OFFSET(H97,-1,0)),""))</f>
        <v/>
      </c>
      <c r="I97" s="11">
        <f>IF($K97=I$8,1+IF(OFFSET(I97,-1,0)="",0,OFFSET(I97,-1,0)),IF(I$8&lt;$K97,IF(OFFSET(I97,-1,0)="","ERR",OFFSET(I97,-1,0)),""))</f>
        <v/>
      </c>
      <c r="J97" s="46">
        <f>_xlfn.TEXTJOIN(".",1,B97:I97)</f>
        <v/>
      </c>
      <c r="K97" s="46" t="inlineStr">
        <is>
          <t>Л7</t>
        </is>
      </c>
      <c r="L97" s="46" t="n"/>
      <c r="M97" s="47" t="inlineStr">
        <is>
          <t>Источник бесперебойного питания «Штиль» STR1103TL, STR1103TL, Штиль</t>
        </is>
      </c>
      <c r="N97" s="46" t="inlineStr">
        <is>
          <t>шт.</t>
        </is>
      </c>
      <c r="O97" s="94">
        <f>P97+Q97+S97+V97</f>
        <v/>
      </c>
      <c r="P97" s="46" t="n"/>
      <c r="Q97" s="46" t="n"/>
      <c r="R97" s="46" t="n"/>
      <c r="S97" s="46" t="n">
        <v>1</v>
      </c>
      <c r="T97" s="46" t="n">
        <v>1</v>
      </c>
      <c r="U97" s="46" t="n"/>
      <c r="V97" s="46" t="n"/>
      <c r="W97" s="46" t="n"/>
      <c r="X97" s="46" t="n"/>
      <c r="Y97" s="46" t="n"/>
      <c r="Z97" s="46" t="n"/>
      <c r="AA97" s="48" t="n"/>
      <c r="AB97" s="179" t="n"/>
      <c r="AC97" s="189" t="n"/>
      <c r="AD97" s="189">
        <f>SUM(AB97:AC97)</f>
        <v/>
      </c>
      <c r="AE97" s="189">
        <f>AB97*$O97</f>
        <v/>
      </c>
      <c r="AF97" s="189">
        <f>AC97*$O97</f>
        <v/>
      </c>
      <c r="AG97" s="189">
        <f>SUM(AE97:AF97)</f>
        <v/>
      </c>
      <c r="AH97" s="182" t="n"/>
    </row>
    <row r="98" outlineLevel="1">
      <c r="A98" s="18" t="inlineStr">
        <is>
          <t>О</t>
        </is>
      </c>
      <c r="B98" s="11">
        <f>IF($K98=B$8,1+IF(OFFSET(B98,-1,0)="",0,OFFSET(B98,-1,0)),IF(B$8&lt;$K98,IF(OFFSET(B98,-1,0)="","ERR",OFFSET(B98,-1,0)),""))</f>
        <v/>
      </c>
      <c r="C98" s="11">
        <f>IF($K98=C$8,1+IF(OFFSET(C98,-1,0)="",0,OFFSET(C98,-1,0)),IF(C$8&lt;$K98,IF(OFFSET(C98,-1,0)="","ERR",OFFSET(C98,-1,0)),""))</f>
        <v/>
      </c>
      <c r="D98" s="11">
        <f>IF($K98=D$8,1+IF(OFFSET(D98,-1,0)="",0,OFFSET(D98,-1,0)),IF(D$8&lt;$K98,IF(OFFSET(D98,-1,0)="","ERR",OFFSET(D98,-1,0)),""))</f>
        <v/>
      </c>
      <c r="E98" s="11">
        <f>IF($K98=E$8,1+IF(OFFSET(E98,-1,0)="",0,OFFSET(E98,-1,0)),IF(E$8&lt;$K98,IF(OFFSET(E98,-1,0)="","ERR",OFFSET(E98,-1,0)),""))</f>
        <v/>
      </c>
      <c r="F98" s="11">
        <f>IF($K98=F$8,1+IF(OFFSET(F98,-1,0)="",0,OFFSET(F98,-1,0)),IF(F$8&lt;$K98,IF(OFFSET(F98,-1,0)="","ERR",OFFSET(F98,-1,0)),""))</f>
        <v/>
      </c>
      <c r="G98" s="11">
        <f>IF($K98=G$8,1+IF(OFFSET(G98,-1,0)="",0,OFFSET(G98,-1,0)),IF(G$8&lt;$K98,IF(OFFSET(G98,-1,0)="","ERR",OFFSET(G98,-1,0)),""))</f>
        <v/>
      </c>
      <c r="H98" s="11">
        <f>IF($K98=H$8,1+IF(OFFSET(H98,-1,0)="",0,OFFSET(H98,-1,0)),IF(H$8&lt;$K98,IF(OFFSET(H98,-1,0)="","ERR",OFFSET(H98,-1,0)),""))</f>
        <v/>
      </c>
      <c r="I98" s="11">
        <f>IF($K98=I$8,1+IF(OFFSET(I98,-1,0)="",0,OFFSET(I98,-1,0)),IF(I$8&lt;$K98,IF(OFFSET(I98,-1,0)="","ERR",OFFSET(I98,-1,0)),""))</f>
        <v/>
      </c>
      <c r="J98" s="46">
        <f>_xlfn.TEXTJOIN(".",1,B98:I98)</f>
        <v/>
      </c>
      <c r="K98" s="46" t="inlineStr">
        <is>
          <t>Л7</t>
        </is>
      </c>
      <c r="L98" s="46" t="n"/>
      <c r="M98" s="47" t="inlineStr">
        <is>
          <t>Батарейный модуль для ИБП «Штиль», BMRT-72-18, Штиль</t>
        </is>
      </c>
      <c r="N98" s="46" t="inlineStr">
        <is>
          <t>шт.</t>
        </is>
      </c>
      <c r="O98" s="94">
        <f>P98+Q98+S98+V98</f>
        <v/>
      </c>
      <c r="P98" s="46" t="n"/>
      <c r="Q98" s="46" t="n"/>
      <c r="R98" s="46" t="n"/>
      <c r="S98" s="46" t="n">
        <v>2</v>
      </c>
      <c r="T98" s="46" t="n">
        <v>2</v>
      </c>
      <c r="U98" s="46" t="n"/>
      <c r="V98" s="46" t="n"/>
      <c r="W98" s="46" t="n"/>
      <c r="X98" s="46" t="n"/>
      <c r="Y98" s="46" t="n"/>
      <c r="Z98" s="46" t="n"/>
      <c r="AA98" s="48" t="n"/>
      <c r="AB98" s="179" t="n"/>
      <c r="AC98" s="189" t="n"/>
      <c r="AD98" s="189">
        <f>SUM(AB98:AC98)</f>
        <v/>
      </c>
      <c r="AE98" s="189">
        <f>AB98*$O98</f>
        <v/>
      </c>
      <c r="AF98" s="189">
        <f>AC98*$O98</f>
        <v/>
      </c>
      <c r="AG98" s="189">
        <f>SUM(AE98:AF98)</f>
        <v/>
      </c>
      <c r="AH98" s="182" t="n"/>
    </row>
    <row r="99" outlineLevel="1">
      <c r="A99" s="18" t="inlineStr">
        <is>
          <t>О</t>
        </is>
      </c>
      <c r="B99" s="11">
        <f>IF($K99=B$8,1+IF(OFFSET(B99,-1,0)="",0,OFFSET(B99,-1,0)),IF(B$8&lt;$K99,IF(OFFSET(B99,-1,0)="","ERR",OFFSET(B99,-1,0)),""))</f>
        <v/>
      </c>
      <c r="C99" s="11">
        <f>IF($K99=C$8,1+IF(OFFSET(C99,-1,0)="",0,OFFSET(C99,-1,0)),IF(C$8&lt;$K99,IF(OFFSET(C99,-1,0)="","ERR",OFFSET(C99,-1,0)),""))</f>
        <v/>
      </c>
      <c r="D99" s="11">
        <f>IF($K99=D$8,1+IF(OFFSET(D99,-1,0)="",0,OFFSET(D99,-1,0)),IF(D$8&lt;$K99,IF(OFFSET(D99,-1,0)="","ERR",OFFSET(D99,-1,0)),""))</f>
        <v/>
      </c>
      <c r="E99" s="11">
        <f>IF($K99=E$8,1+IF(OFFSET(E99,-1,0)="",0,OFFSET(E99,-1,0)),IF(E$8&lt;$K99,IF(OFFSET(E99,-1,0)="","ERR",OFFSET(E99,-1,0)),""))</f>
        <v/>
      </c>
      <c r="F99" s="11">
        <f>IF($K99=F$8,1+IF(OFFSET(F99,-1,0)="",0,OFFSET(F99,-1,0)),IF(F$8&lt;$K99,IF(OFFSET(F99,-1,0)="","ERR",OFFSET(F99,-1,0)),""))</f>
        <v/>
      </c>
      <c r="G99" s="11">
        <f>IF($K99=G$8,1+IF(OFFSET(G99,-1,0)="",0,OFFSET(G99,-1,0)),IF(G$8&lt;$K99,IF(OFFSET(G99,-1,0)="","ERR",OFFSET(G99,-1,0)),""))</f>
        <v/>
      </c>
      <c r="H99" s="11">
        <f>IF($K99=H$8,1+IF(OFFSET(H99,-1,0)="",0,OFFSET(H99,-1,0)),IF(H$8&lt;$K99,IF(OFFSET(H99,-1,0)="","ERR",OFFSET(H99,-1,0)),""))</f>
        <v/>
      </c>
      <c r="I99" s="11">
        <f>IF($K99=I$8,1+IF(OFFSET(I99,-1,0)="",0,OFFSET(I99,-1,0)),IF(I$8&lt;$K99,IF(OFFSET(I99,-1,0)="","ERR",OFFSET(I99,-1,0)),""))</f>
        <v/>
      </c>
      <c r="J99" s="46">
        <f>_xlfn.TEXTJOIN(".",1,B99:I99)</f>
        <v/>
      </c>
      <c r="K99" s="46" t="inlineStr">
        <is>
          <t>Л7</t>
        </is>
      </c>
      <c r="L99" s="46" t="n"/>
      <c r="M99" s="47" t="inlineStr">
        <is>
          <t>Карта мониторинга IC-SNMP/WEB, IC-SNMP/WEB, Штиль</t>
        </is>
      </c>
      <c r="N99" s="46" t="inlineStr">
        <is>
          <t>шт.</t>
        </is>
      </c>
      <c r="O99" s="94">
        <f>P99+Q99+S99+V99</f>
        <v/>
      </c>
      <c r="P99" s="46" t="n"/>
      <c r="Q99" s="46" t="n"/>
      <c r="R99" s="46" t="n"/>
      <c r="S99" s="46" t="n">
        <v>1</v>
      </c>
      <c r="T99" s="46" t="n">
        <v>1</v>
      </c>
      <c r="U99" s="46" t="n"/>
      <c r="V99" s="46" t="n"/>
      <c r="W99" s="46" t="n"/>
      <c r="X99" s="46" t="n"/>
      <c r="Y99" s="46" t="n"/>
      <c r="Z99" s="46" t="n"/>
      <c r="AA99" s="48" t="n"/>
      <c r="AB99" s="179" t="n"/>
      <c r="AC99" s="189" t="n"/>
      <c r="AD99" s="189">
        <f>SUM(AB99:AC99)</f>
        <v/>
      </c>
      <c r="AE99" s="189">
        <f>AB99*$O99</f>
        <v/>
      </c>
      <c r="AF99" s="189">
        <f>AC99*$O99</f>
        <v/>
      </c>
      <c r="AG99" s="189">
        <f>SUM(AE99:AF99)</f>
        <v/>
      </c>
      <c r="AH99" s="182" t="n"/>
    </row>
    <row r="100" outlineLevel="1">
      <c r="A100" s="18" t="inlineStr">
        <is>
          <t>О</t>
        </is>
      </c>
      <c r="B100" s="11">
        <f>IF($K100=B$8,1+IF(OFFSET(B100,-1,0)="",0,OFFSET(B100,-1,0)),IF(B$8&lt;$K100,IF(OFFSET(B100,-1,0)="","ERR",OFFSET(B100,-1,0)),""))</f>
        <v/>
      </c>
      <c r="C100" s="11">
        <f>IF($K100=C$8,1+IF(OFFSET(C100,-1,0)="",0,OFFSET(C100,-1,0)),IF(C$8&lt;$K100,IF(OFFSET(C100,-1,0)="","ERR",OFFSET(C100,-1,0)),""))</f>
        <v/>
      </c>
      <c r="D100" s="11">
        <f>IF($K100=D$8,1+IF(OFFSET(D100,-1,0)="",0,OFFSET(D100,-1,0)),IF(D$8&lt;$K100,IF(OFFSET(D100,-1,0)="","ERR",OFFSET(D100,-1,0)),""))</f>
        <v/>
      </c>
      <c r="E100" s="11">
        <f>IF($K100=E$8,1+IF(OFFSET(E100,-1,0)="",0,OFFSET(E100,-1,0)),IF(E$8&lt;$K100,IF(OFFSET(E100,-1,0)="","ERR",OFFSET(E100,-1,0)),""))</f>
        <v/>
      </c>
      <c r="F100" s="11">
        <f>IF($K100=F$8,1+IF(OFFSET(F100,-1,0)="",0,OFFSET(F100,-1,0)),IF(F$8&lt;$K100,IF(OFFSET(F100,-1,0)="","ERR",OFFSET(F100,-1,0)),""))</f>
        <v/>
      </c>
      <c r="G100" s="11">
        <f>IF($K100=G$8,1+IF(OFFSET(G100,-1,0)="",0,OFFSET(G100,-1,0)),IF(G$8&lt;$K100,IF(OFFSET(G100,-1,0)="","ERR",OFFSET(G100,-1,0)),""))</f>
        <v/>
      </c>
      <c r="H100" s="11">
        <f>IF($K100=H$8,1+IF(OFFSET(H100,-1,0)="",0,OFFSET(H100,-1,0)),IF(H$8&lt;$K100,IF(OFFSET(H100,-1,0)="","ERR",OFFSET(H100,-1,0)),""))</f>
        <v/>
      </c>
      <c r="I100" s="11">
        <f>IF($K100=I$8,1+IF(OFFSET(I100,-1,0)="",0,OFFSET(I100,-1,0)),IF(I$8&lt;$K100,IF(OFFSET(I100,-1,0)="","ERR",OFFSET(I100,-1,0)),""))</f>
        <v/>
      </c>
      <c r="J100" s="46">
        <f>_xlfn.TEXTJOIN(".",1,B100:I100)</f>
        <v/>
      </c>
      <c r="K100" s="46" t="inlineStr">
        <is>
          <t>Л7</t>
        </is>
      </c>
      <c r="L100" s="46" t="n"/>
      <c r="M100" s="47" t="inlineStr">
        <is>
          <t>Панель заземления горизонтальная/вертикальная, ПЗ-19-500.200А, ТМ «ЦМО»</t>
        </is>
      </c>
      <c r="N100" s="46" t="inlineStr">
        <is>
          <t>шт.</t>
        </is>
      </c>
      <c r="O100" s="94">
        <f>P100+Q100+S100+V100</f>
        <v/>
      </c>
      <c r="P100" s="46" t="n"/>
      <c r="Q100" s="46" t="n"/>
      <c r="R100" s="46" t="n"/>
      <c r="S100" s="46" t="n">
        <v>1</v>
      </c>
      <c r="T100" s="46" t="n">
        <v>1</v>
      </c>
      <c r="U100" s="46" t="n"/>
      <c r="V100" s="46" t="n"/>
      <c r="W100" s="46" t="n"/>
      <c r="X100" s="46" t="n"/>
      <c r="Y100" s="46" t="n"/>
      <c r="Z100" s="46" t="n"/>
      <c r="AA100" s="48" t="n"/>
      <c r="AB100" s="179" t="n"/>
      <c r="AC100" s="189" t="n"/>
      <c r="AD100" s="189">
        <f>SUM(AB100:AC100)</f>
        <v/>
      </c>
      <c r="AE100" s="189">
        <f>AB100*$O100</f>
        <v/>
      </c>
      <c r="AF100" s="189">
        <f>AC100*$O100</f>
        <v/>
      </c>
      <c r="AG100" s="189">
        <f>SUM(AE100:AF100)</f>
        <v/>
      </c>
      <c r="AH100" s="182" t="n"/>
    </row>
    <row r="101" outlineLevel="1" ht="26.25" customHeight="1">
      <c r="A101" s="18" t="inlineStr">
        <is>
          <t>О</t>
        </is>
      </c>
      <c r="B101" s="11">
        <f>IF($K101=B$8,1+IF(OFFSET(B101,-1,0)="",0,OFFSET(B101,-1,0)),IF(B$8&lt;$K101,IF(OFFSET(B101,-1,0)="","ERR",OFFSET(B101,-1,0)),""))</f>
        <v/>
      </c>
      <c r="C101" s="11">
        <f>IF($K101=C$8,1+IF(OFFSET(C101,-1,0)="",0,OFFSET(C101,-1,0)),IF(C$8&lt;$K101,IF(OFFSET(C101,-1,0)="","ERR",OFFSET(C101,-1,0)),""))</f>
        <v/>
      </c>
      <c r="D101" s="11">
        <f>IF($K101=D$8,1+IF(OFFSET(D101,-1,0)="",0,OFFSET(D101,-1,0)),IF(D$8&lt;$K101,IF(OFFSET(D101,-1,0)="","ERR",OFFSET(D101,-1,0)),""))</f>
        <v/>
      </c>
      <c r="E101" s="11">
        <f>IF($K101=E$8,1+IF(OFFSET(E101,-1,0)="",0,OFFSET(E101,-1,0)),IF(E$8&lt;$K101,IF(OFFSET(E101,-1,0)="","ERR",OFFSET(E101,-1,0)),""))</f>
        <v/>
      </c>
      <c r="F101" s="11">
        <f>IF($K101=F$8,1+IF(OFFSET(F101,-1,0)="",0,OFFSET(F101,-1,0)),IF(F$8&lt;$K101,IF(OFFSET(F101,-1,0)="","ERR",OFFSET(F101,-1,0)),""))</f>
        <v/>
      </c>
      <c r="G101" s="11">
        <f>IF($K101=G$8,1+IF(OFFSET(G101,-1,0)="",0,OFFSET(G101,-1,0)),IF(G$8&lt;$K101,IF(OFFSET(G101,-1,0)="","ERR",OFFSET(G101,-1,0)),""))</f>
        <v/>
      </c>
      <c r="H101" s="11">
        <f>IF($K101=H$8,1+IF(OFFSET(H101,-1,0)="",0,OFFSET(H101,-1,0)),IF(H$8&lt;$K101,IF(OFFSET(H101,-1,0)="","ERR",OFFSET(H101,-1,0)),""))</f>
        <v/>
      </c>
      <c r="I101" s="11">
        <f>IF($K101=I$8,1+IF(OFFSET(I101,-1,0)="",0,OFFSET(I101,-1,0)),IF(I$8&lt;$K101,IF(OFFSET(I101,-1,0)="","ERR",OFFSET(I101,-1,0)),""))</f>
        <v/>
      </c>
      <c r="J101" s="46">
        <f>_xlfn.TEXTJOIN(".",1,B101:I101)</f>
        <v/>
      </c>
      <c r="K101" s="46" t="inlineStr">
        <is>
          <t>Л7</t>
        </is>
      </c>
      <c r="L101" s="46" t="n"/>
      <c r="M101" s="47" t="inlineStr">
        <is>
          <t>Блок розеток Rem-10 с выкл., 8 Sсhuko, 10 A, алюм., 19", шнур 1.8 м.IEC 60320 C14, R-10-8S-V-440-1.8, ТМ «ЦМО»</t>
        </is>
      </c>
      <c r="N101" s="46" t="inlineStr">
        <is>
          <t>шт.</t>
        </is>
      </c>
      <c r="O101" s="94">
        <f>P101+Q101+S101+V101</f>
        <v/>
      </c>
      <c r="P101" s="46" t="n"/>
      <c r="Q101" s="46" t="n"/>
      <c r="R101" s="46" t="n"/>
      <c r="S101" s="46" t="n">
        <v>1</v>
      </c>
      <c r="T101" s="46" t="n">
        <v>1</v>
      </c>
      <c r="U101" s="46" t="n"/>
      <c r="V101" s="46" t="n"/>
      <c r="W101" s="46" t="n"/>
      <c r="X101" s="46" t="n"/>
      <c r="Y101" s="46" t="n"/>
      <c r="Z101" s="46" t="n"/>
      <c r="AA101" s="48" t="n"/>
      <c r="AB101" s="179" t="n"/>
      <c r="AC101" s="189" t="n"/>
      <c r="AD101" s="189">
        <f>SUM(AB101:AC101)</f>
        <v/>
      </c>
      <c r="AE101" s="189">
        <f>AB101*$O101</f>
        <v/>
      </c>
      <c r="AF101" s="189">
        <f>AC101*$O101</f>
        <v/>
      </c>
      <c r="AG101" s="189">
        <f>SUM(AE101:AF101)</f>
        <v/>
      </c>
      <c r="AH101" s="182" t="n"/>
    </row>
    <row r="102" outlineLevel="1">
      <c r="A102" s="18" t="inlineStr">
        <is>
          <t>О</t>
        </is>
      </c>
      <c r="B102" s="11">
        <f>IF($K102=B$8,1+IF(OFFSET(B102,-1,0)="",0,OFFSET(B102,-1,0)),IF(B$8&lt;$K102,IF(OFFSET(B102,-1,0)="","ERR",OFFSET(B102,-1,0)),""))</f>
        <v/>
      </c>
      <c r="C102" s="11">
        <f>IF($K102=C$8,1+IF(OFFSET(C102,-1,0)="",0,OFFSET(C102,-1,0)),IF(C$8&lt;$K102,IF(OFFSET(C102,-1,0)="","ERR",OFFSET(C102,-1,0)),""))</f>
        <v/>
      </c>
      <c r="D102" s="11">
        <f>IF($K102=D$8,1+IF(OFFSET(D102,-1,0)="",0,OFFSET(D102,-1,0)),IF(D$8&lt;$K102,IF(OFFSET(D102,-1,0)="","ERR",OFFSET(D102,-1,0)),""))</f>
        <v/>
      </c>
      <c r="E102" s="11">
        <f>IF($K102=E$8,1+IF(OFFSET(E102,-1,0)="",0,OFFSET(E102,-1,0)),IF(E$8&lt;$K102,IF(OFFSET(E102,-1,0)="","ERR",OFFSET(E102,-1,0)),""))</f>
        <v/>
      </c>
      <c r="F102" s="11">
        <f>IF($K102=F$8,1+IF(OFFSET(F102,-1,0)="",0,OFFSET(F102,-1,0)),IF(F$8&lt;$K102,IF(OFFSET(F102,-1,0)="","ERR",OFFSET(F102,-1,0)),""))</f>
        <v/>
      </c>
      <c r="G102" s="11">
        <f>IF($K102=G$8,1+IF(OFFSET(G102,-1,0)="",0,OFFSET(G102,-1,0)),IF(G$8&lt;$K102,IF(OFFSET(G102,-1,0)="","ERR",OFFSET(G102,-1,0)),""))</f>
        <v/>
      </c>
      <c r="H102" s="11">
        <f>IF($K102=H$8,1+IF(OFFSET(H102,-1,0)="",0,OFFSET(H102,-1,0)),IF(H$8&lt;$K102,IF(OFFSET(H102,-1,0)="","ERR",OFFSET(H102,-1,0)),""))</f>
        <v/>
      </c>
      <c r="I102" s="11">
        <f>IF($K102=I$8,1+IF(OFFSET(I102,-1,0)="",0,OFFSET(I102,-1,0)),IF(I$8&lt;$K102,IF(OFFSET(I102,-1,0)="","ERR",OFFSET(I102,-1,0)),""))</f>
        <v/>
      </c>
      <c r="J102" s="46">
        <f>_xlfn.TEXTJOIN(".",1,B102:I102)</f>
        <v/>
      </c>
      <c r="K102" s="46" t="inlineStr">
        <is>
          <t>Л7</t>
        </is>
      </c>
      <c r="L102" s="46" t="n"/>
      <c r="M102" s="47" t="inlineStr">
        <is>
          <t>Комплект щеточного ввода в шкаф, универсальный, КВ-Щ-55.210А-9005, ТМ «ЦМО»</t>
        </is>
      </c>
      <c r="N102" s="46" t="inlineStr">
        <is>
          <t>шт.</t>
        </is>
      </c>
      <c r="O102" s="94">
        <f>P102+Q102+S102+V102</f>
        <v/>
      </c>
      <c r="P102" s="46" t="n"/>
      <c r="Q102" s="46" t="n"/>
      <c r="R102" s="46" t="n"/>
      <c r="S102" s="46" t="n">
        <v>1</v>
      </c>
      <c r="T102" s="46" t="n">
        <v>1</v>
      </c>
      <c r="U102" s="46" t="n"/>
      <c r="V102" s="46" t="n"/>
      <c r="W102" s="46" t="n"/>
      <c r="X102" s="46" t="n"/>
      <c r="Y102" s="46" t="n"/>
      <c r="Z102" s="46" t="n"/>
      <c r="AA102" s="48" t="n"/>
      <c r="AB102" s="179" t="n"/>
      <c r="AC102" s="189" t="n"/>
      <c r="AD102" s="189">
        <f>SUM(AB102:AC102)</f>
        <v/>
      </c>
      <c r="AE102" s="189">
        <f>AB102*$O102</f>
        <v/>
      </c>
      <c r="AF102" s="189">
        <f>AC102*$O102</f>
        <v/>
      </c>
      <c r="AG102" s="189">
        <f>SUM(AE102:AF102)</f>
        <v/>
      </c>
      <c r="AH102" s="182" t="n"/>
    </row>
    <row r="103" outlineLevel="1">
      <c r="A103" s="18" t="inlineStr">
        <is>
          <t>О</t>
        </is>
      </c>
      <c r="B103" s="11">
        <f>IF($K103=B$8,1+IF(OFFSET(B103,-1,0)="",0,OFFSET(B103,-1,0)),IF(B$8&lt;$K103,IF(OFFSET(B103,-1,0)="","ERR",OFFSET(B103,-1,0)),""))</f>
        <v/>
      </c>
      <c r="C103" s="11">
        <f>IF($K103=C$8,1+IF(OFFSET(C103,-1,0)="",0,OFFSET(C103,-1,0)),IF(C$8&lt;$K103,IF(OFFSET(C103,-1,0)="","ERR",OFFSET(C103,-1,0)),""))</f>
        <v/>
      </c>
      <c r="D103" s="11">
        <f>IF($K103=D$8,1+IF(OFFSET(D103,-1,0)="",0,OFFSET(D103,-1,0)),IF(D$8&lt;$K103,IF(OFFSET(D103,-1,0)="","ERR",OFFSET(D103,-1,0)),""))</f>
        <v/>
      </c>
      <c r="E103" s="11">
        <f>IF($K103=E$8,1+IF(OFFSET(E103,-1,0)="",0,OFFSET(E103,-1,0)),IF(E$8&lt;$K103,IF(OFFSET(E103,-1,0)="","ERR",OFFSET(E103,-1,0)),""))</f>
        <v/>
      </c>
      <c r="F103" s="11">
        <f>IF($K103=F$8,1+IF(OFFSET(F103,-1,0)="",0,OFFSET(F103,-1,0)),IF(F$8&lt;$K103,IF(OFFSET(F103,-1,0)="","ERR",OFFSET(F103,-1,0)),""))</f>
        <v/>
      </c>
      <c r="G103" s="11">
        <f>IF($K103=G$8,1+IF(OFFSET(G103,-1,0)="",0,OFFSET(G103,-1,0)),IF(G$8&lt;$K103,IF(OFFSET(G103,-1,0)="","ERR",OFFSET(G103,-1,0)),""))</f>
        <v/>
      </c>
      <c r="H103" s="11">
        <f>IF($K103=H$8,1+IF(OFFSET(H103,-1,0)="",0,OFFSET(H103,-1,0)),IF(H$8&lt;$K103,IF(OFFSET(H103,-1,0)="","ERR",OFFSET(H103,-1,0)),""))</f>
        <v/>
      </c>
      <c r="I103" s="11">
        <f>IF($K103=I$8,1+IF(OFFSET(I103,-1,0)="",0,OFFSET(I103,-1,0)),IF(I$8&lt;$K103,IF(OFFSET(I103,-1,0)="","ERR",OFFSET(I103,-1,0)),""))</f>
        <v/>
      </c>
      <c r="J103" s="46">
        <f>_xlfn.TEXTJOIN(".",1,B103:I103)</f>
        <v/>
      </c>
      <c r="K103" s="46" t="inlineStr">
        <is>
          <t>Л7</t>
        </is>
      </c>
      <c r="L103" s="46" t="n"/>
      <c r="M103" s="47" t="inlineStr">
        <is>
          <t>Комплект для монтажа в стойку ИБП Штиль, 1060905, Штиль</t>
        </is>
      </c>
      <c r="N103" s="46" t="inlineStr">
        <is>
          <t>шт.</t>
        </is>
      </c>
      <c r="O103" s="94">
        <f>P103+Q103+S103+V103</f>
        <v/>
      </c>
      <c r="P103" s="46" t="n"/>
      <c r="Q103" s="46" t="n"/>
      <c r="R103" s="46" t="n"/>
      <c r="S103" s="46" t="n">
        <v>3</v>
      </c>
      <c r="T103" s="46" t="n">
        <v>3</v>
      </c>
      <c r="U103" s="46" t="n"/>
      <c r="V103" s="46" t="n"/>
      <c r="W103" s="46" t="n"/>
      <c r="X103" s="46" t="n"/>
      <c r="Y103" s="46" t="n"/>
      <c r="Z103" s="46" t="n"/>
      <c r="AA103" s="48" t="n"/>
      <c r="AB103" s="179" t="n"/>
      <c r="AC103" s="189" t="n"/>
      <c r="AD103" s="189">
        <f>SUM(AB103:AC103)</f>
        <v/>
      </c>
      <c r="AE103" s="189">
        <f>AB103*$O103</f>
        <v/>
      </c>
      <c r="AF103" s="189">
        <f>AC103*$O103</f>
        <v/>
      </c>
      <c r="AG103" s="189">
        <f>SUM(AE103:AF103)</f>
        <v/>
      </c>
      <c r="AH103" s="182" t="n"/>
    </row>
    <row r="104" outlineLevel="1">
      <c r="A104" s="18" t="inlineStr">
        <is>
          <t>О</t>
        </is>
      </c>
      <c r="B104" s="11">
        <f>IF($K104=B$8,1+IF(OFFSET(B104,-1,0)="",0,OFFSET(B104,-1,0)),IF(B$8&lt;$K104,IF(OFFSET(B104,-1,0)="","ERR",OFFSET(B104,-1,0)),""))</f>
        <v/>
      </c>
      <c r="C104" s="11">
        <f>IF($K104=C$8,1+IF(OFFSET(C104,-1,0)="",0,OFFSET(C104,-1,0)),IF(C$8&lt;$K104,IF(OFFSET(C104,-1,0)="","ERR",OFFSET(C104,-1,0)),""))</f>
        <v/>
      </c>
      <c r="D104" s="11">
        <f>IF($K104=D$8,1+IF(OFFSET(D104,-1,0)="",0,OFFSET(D104,-1,0)),IF(D$8&lt;$K104,IF(OFFSET(D104,-1,0)="","ERR",OFFSET(D104,-1,0)),""))</f>
        <v/>
      </c>
      <c r="E104" s="11">
        <f>IF($K104=E$8,1+IF(OFFSET(E104,-1,0)="",0,OFFSET(E104,-1,0)),IF(E$8&lt;$K104,IF(OFFSET(E104,-1,0)="","ERR",OFFSET(E104,-1,0)),""))</f>
        <v/>
      </c>
      <c r="F104" s="11">
        <f>IF($K104=F$8,1+IF(OFFSET(F104,-1,0)="",0,OFFSET(F104,-1,0)),IF(F$8&lt;$K104,IF(OFFSET(F104,-1,0)="","ERR",OFFSET(F104,-1,0)),""))</f>
        <v/>
      </c>
      <c r="G104" s="11">
        <f>IF($K104=G$8,1+IF(OFFSET(G104,-1,0)="",0,OFFSET(G104,-1,0)),IF(G$8&lt;$K104,IF(OFFSET(G104,-1,0)="","ERR",OFFSET(G104,-1,0)),""))</f>
        <v/>
      </c>
      <c r="H104" s="11">
        <f>IF($K104=H$8,1+IF(OFFSET(H104,-1,0)="",0,OFFSET(H104,-1,0)),IF(H$8&lt;$K104,IF(OFFSET(H104,-1,0)="","ERR",OFFSET(H104,-1,0)),""))</f>
        <v/>
      </c>
      <c r="I104" s="11">
        <f>IF($K104=I$8,1+IF(OFFSET(I104,-1,0)="",0,OFFSET(I104,-1,0)),IF(I$8&lt;$K104,IF(OFFSET(I104,-1,0)="","ERR",OFFSET(I104,-1,0)),""))</f>
        <v/>
      </c>
      <c r="J104" s="46">
        <f>_xlfn.TEXTJOIN(".",1,B104:I104)</f>
        <v/>
      </c>
      <c r="K104" s="46" t="inlineStr">
        <is>
          <t>Л7</t>
        </is>
      </c>
      <c r="L104" s="46" t="n"/>
      <c r="M104" s="47" t="inlineStr">
        <is>
          <t>Комплект проводов заземления для шкафа ШТК-М, универсальный, ПЗ-ШТК-М, ТМ «ЦМО»</t>
        </is>
      </c>
      <c r="N104" s="46" t="inlineStr">
        <is>
          <t>шт.</t>
        </is>
      </c>
      <c r="O104" s="94">
        <f>P104+Q104+S104+V104</f>
        <v/>
      </c>
      <c r="P104" s="46" t="n"/>
      <c r="Q104" s="46" t="n"/>
      <c r="R104" s="46" t="n"/>
      <c r="S104" s="46" t="n">
        <v>1</v>
      </c>
      <c r="T104" s="46" t="n">
        <v>1</v>
      </c>
      <c r="U104" s="46" t="n"/>
      <c r="V104" s="46" t="n"/>
      <c r="W104" s="46" t="n"/>
      <c r="X104" s="46" t="n"/>
      <c r="Y104" s="46" t="n"/>
      <c r="Z104" s="46" t="n"/>
      <c r="AA104" s="48" t="n"/>
      <c r="AB104" s="179" t="n"/>
      <c r="AC104" s="189" t="n"/>
      <c r="AD104" s="189">
        <f>SUM(AB104:AC104)</f>
        <v/>
      </c>
      <c r="AE104" s="189">
        <f>AB104*$O104</f>
        <v/>
      </c>
      <c r="AF104" s="189">
        <f>AC104*$O104</f>
        <v/>
      </c>
      <c r="AG104" s="189">
        <f>SUM(AE104:AF104)</f>
        <v/>
      </c>
      <c r="AH104" s="182" t="n"/>
    </row>
    <row r="105" outlineLevel="1">
      <c r="A105" s="18" t="inlineStr">
        <is>
          <t>О</t>
        </is>
      </c>
      <c r="B105" s="11">
        <f>IF($K105=B$8,1+IF(OFFSET(B105,-1,0)="",0,OFFSET(B105,-1,0)),IF(B$8&lt;$K105,IF(OFFSET(B105,-1,0)="","ERR",OFFSET(B105,-1,0)),""))</f>
        <v/>
      </c>
      <c r="C105" s="11">
        <f>IF($K105=C$8,1+IF(OFFSET(C105,-1,0)="",0,OFFSET(C105,-1,0)),IF(C$8&lt;$K105,IF(OFFSET(C105,-1,0)="","ERR",OFFSET(C105,-1,0)),""))</f>
        <v/>
      </c>
      <c r="D105" s="11">
        <f>IF($K105=D$8,1+IF(OFFSET(D105,-1,0)="",0,OFFSET(D105,-1,0)),IF(D$8&lt;$K105,IF(OFFSET(D105,-1,0)="","ERR",OFFSET(D105,-1,0)),""))</f>
        <v/>
      </c>
      <c r="E105" s="11">
        <f>IF($K105=E$8,1+IF(OFFSET(E105,-1,0)="",0,OFFSET(E105,-1,0)),IF(E$8&lt;$K105,IF(OFFSET(E105,-1,0)="","ERR",OFFSET(E105,-1,0)),""))</f>
        <v/>
      </c>
      <c r="F105" s="11">
        <f>IF($K105=F$8,1+IF(OFFSET(F105,-1,0)="",0,OFFSET(F105,-1,0)),IF(F$8&lt;$K105,IF(OFFSET(F105,-1,0)="","ERR",OFFSET(F105,-1,0)),""))</f>
        <v/>
      </c>
      <c r="G105" s="11">
        <f>IF($K105=G$8,1+IF(OFFSET(G105,-1,0)="",0,OFFSET(G105,-1,0)),IF(G$8&lt;$K105,IF(OFFSET(G105,-1,0)="","ERR",OFFSET(G105,-1,0)),""))</f>
        <v/>
      </c>
      <c r="H105" s="11">
        <f>IF($K105=H$8,1+IF(OFFSET(H105,-1,0)="",0,OFFSET(H105,-1,0)),IF(H$8&lt;$K105,IF(OFFSET(H105,-1,0)="","ERR",OFFSET(H105,-1,0)),""))</f>
        <v/>
      </c>
      <c r="I105" s="11">
        <f>IF($K105=I$8,1+IF(OFFSET(I105,-1,0)="",0,OFFSET(I105,-1,0)),IF(I$8&lt;$K105,IF(OFFSET(I105,-1,0)="","ERR",OFFSET(I105,-1,0)),""))</f>
        <v/>
      </c>
      <c r="J105" s="49">
        <f>_xlfn.TEXTJOIN(".",1,B105:I105)</f>
        <v/>
      </c>
      <c r="K105" s="49" t="inlineStr">
        <is>
          <t>Л7</t>
        </is>
      </c>
      <c r="L105" s="49" t="n"/>
      <c r="M105" s="63" t="inlineStr">
        <is>
          <t>SFP-трансивер с 1 портом 10 Гбит/с, для одномодового оптического кабеля, LTV-SFP-10G-LC10, LTV</t>
        </is>
      </c>
      <c r="N105" s="49" t="inlineStr">
        <is>
          <t>шт.</t>
        </is>
      </c>
      <c r="O105" s="50">
        <f>P105+Q105+S105+V105</f>
        <v/>
      </c>
      <c r="P105" s="49" t="n"/>
      <c r="Q105" s="49" t="n"/>
      <c r="R105" s="49" t="n"/>
      <c r="S105" s="49" t="n">
        <v>4</v>
      </c>
      <c r="T105" s="49" t="n">
        <v>4</v>
      </c>
      <c r="U105" s="49" t="n"/>
      <c r="V105" s="49" t="n"/>
      <c r="W105" s="50" t="n">
        <v>1</v>
      </c>
      <c r="X105" s="26" t="n">
        <v>5040070405</v>
      </c>
      <c r="Y105" s="26" t="n">
        <v>772201001</v>
      </c>
      <c r="Z105" s="26" t="inlineStr">
        <is>
          <t>ООО "ЛУИС+"</t>
        </is>
      </c>
      <c r="AA105" s="51" t="inlineStr">
        <is>
          <t>ГТ</t>
        </is>
      </c>
      <c r="AB105" s="188" t="n"/>
      <c r="AC105" s="189" t="n"/>
      <c r="AD105" s="190">
        <f>SUM(AB105:AC105)</f>
        <v/>
      </c>
      <c r="AE105" s="190">
        <f>AB105*$O105*$W105</f>
        <v/>
      </c>
      <c r="AF105" s="190">
        <f>AC105*$O105*$W105</f>
        <v/>
      </c>
      <c r="AG105" s="190">
        <f>SUM(AE105:AF105)</f>
        <v/>
      </c>
      <c r="AH105" s="182" t="n"/>
    </row>
    <row r="106" outlineLevel="1">
      <c r="A106" s="18" t="inlineStr">
        <is>
          <t>О</t>
        </is>
      </c>
      <c r="B106" s="11">
        <f>IF($K106=B$8,1+IF(OFFSET(B106,-1,0)="",0,OFFSET(B106,-1,0)),IF(B$8&lt;$K106,IF(OFFSET(B106,-1,0)="","ERR",OFFSET(B106,-1,0)),""))</f>
        <v/>
      </c>
      <c r="C106" s="11">
        <f>IF($K106=C$8,1+IF(OFFSET(C106,-1,0)="",0,OFFSET(C106,-1,0)),IF(C$8&lt;$K106,IF(OFFSET(C106,-1,0)="","ERR",OFFSET(C106,-1,0)),""))</f>
        <v/>
      </c>
      <c r="D106" s="11">
        <f>IF($K106=D$8,1+IF(OFFSET(D106,-1,0)="",0,OFFSET(D106,-1,0)),IF(D$8&lt;$K106,IF(OFFSET(D106,-1,0)="","ERR",OFFSET(D106,-1,0)),""))</f>
        <v/>
      </c>
      <c r="E106" s="11">
        <f>IF($K106=E$8,1+IF(OFFSET(E106,-1,0)="",0,OFFSET(E106,-1,0)),IF(E$8&lt;$K106,IF(OFFSET(E106,-1,0)="","ERR",OFFSET(E106,-1,0)),""))</f>
        <v/>
      </c>
      <c r="F106" s="11">
        <f>IF($K106=F$8,1+IF(OFFSET(F106,-1,0)="",0,OFFSET(F106,-1,0)),IF(F$8&lt;$K106,IF(OFFSET(F106,-1,0)="","ERR",OFFSET(F106,-1,0)),""))</f>
        <v/>
      </c>
      <c r="G106" s="11">
        <f>IF($K106=G$8,1+IF(OFFSET(G106,-1,0)="",0,OFFSET(G106,-1,0)),IF(G$8&lt;$K106,IF(OFFSET(G106,-1,0)="","ERR",OFFSET(G106,-1,0)),""))</f>
        <v/>
      </c>
      <c r="H106" s="11">
        <f>IF($K106=H$8,1+IF(OFFSET(H106,-1,0)="",0,OFFSET(H106,-1,0)),IF(H$8&lt;$K106,IF(OFFSET(H106,-1,0)="","ERR",OFFSET(H106,-1,0)),""))</f>
        <v/>
      </c>
      <c r="I106" s="11">
        <f>IF($K106=I$8,1+IF(OFFSET(I106,-1,0)="",0,OFFSET(I106,-1,0)),IF(I$8&lt;$K106,IF(OFFSET(I106,-1,0)="","ERR",OFFSET(I106,-1,0)),""))</f>
        <v/>
      </c>
      <c r="J106" s="49">
        <f>_xlfn.TEXTJOIN(".",1,B106:I106)</f>
        <v/>
      </c>
      <c r="K106" s="49" t="inlineStr">
        <is>
          <t>Л7</t>
        </is>
      </c>
      <c r="L106" s="49" t="n"/>
      <c r="M106" s="63" t="inlineStr">
        <is>
          <t>SFP-трансивер с 1 портом 1 Гбит/с, для одномодового оптического кабеля, LTV-SFP-1G-LC20, LTV</t>
        </is>
      </c>
      <c r="N106" s="49" t="inlineStr">
        <is>
          <t>шт.</t>
        </is>
      </c>
      <c r="O106" s="50">
        <f>P106+Q106+S106+V106</f>
        <v/>
      </c>
      <c r="P106" s="49" t="n"/>
      <c r="Q106" s="49" t="n"/>
      <c r="R106" s="49" t="n"/>
      <c r="S106" s="49" t="n">
        <v>8</v>
      </c>
      <c r="T106" s="49" t="n">
        <v>8</v>
      </c>
      <c r="U106" s="49" t="n"/>
      <c r="V106" s="49" t="n"/>
      <c r="W106" s="50" t="n">
        <v>1</v>
      </c>
      <c r="X106" s="26" t="n">
        <v>5040070405</v>
      </c>
      <c r="Y106" s="26" t="n">
        <v>772201001</v>
      </c>
      <c r="Z106" s="26" t="inlineStr">
        <is>
          <t>ООО "ЛУИС+"</t>
        </is>
      </c>
      <c r="AA106" s="51" t="inlineStr">
        <is>
          <t>ГТ</t>
        </is>
      </c>
      <c r="AB106" s="188" t="n"/>
      <c r="AC106" s="189" t="n"/>
      <c r="AD106" s="190">
        <f>SUM(AB106:AC106)</f>
        <v/>
      </c>
      <c r="AE106" s="190">
        <f>AB106*$O106*$W106</f>
        <v/>
      </c>
      <c r="AF106" s="190">
        <f>AC106*$O106*$W106</f>
        <v/>
      </c>
      <c r="AG106" s="190">
        <f>SUM(AE106:AF106)</f>
        <v/>
      </c>
      <c r="AH106" s="182" t="n"/>
    </row>
    <row r="107" outlineLevel="1" ht="25.5" customHeight="1">
      <c r="A107" s="18" t="inlineStr">
        <is>
          <t>О</t>
        </is>
      </c>
      <c r="B107" s="11">
        <f>IF($K107=B$8,1+IF(OFFSET(B107,-1,0)="",0,OFFSET(B107,-1,0)),IF(B$8&lt;$K107,IF(OFFSET(B107,-1,0)="","ERR",OFFSET(B107,-1,0)),""))</f>
        <v/>
      </c>
      <c r="C107" s="11">
        <f>IF($K107=C$8,1+IF(OFFSET(C107,-1,0)="",0,OFFSET(C107,-1,0)),IF(C$8&lt;$K107,IF(OFFSET(C107,-1,0)="","ERR",OFFSET(C107,-1,0)),""))</f>
        <v/>
      </c>
      <c r="D107" s="11">
        <f>IF($K107=D$8,1+IF(OFFSET(D107,-1,0)="",0,OFFSET(D107,-1,0)),IF(D$8&lt;$K107,IF(OFFSET(D107,-1,0)="","ERR",OFFSET(D107,-1,0)),""))</f>
        <v/>
      </c>
      <c r="E107" s="11">
        <f>IF($K107=E$8,1+IF(OFFSET(E107,-1,0)="",0,OFFSET(E107,-1,0)),IF(E$8&lt;$K107,IF(OFFSET(E107,-1,0)="","ERR",OFFSET(E107,-1,0)),""))</f>
        <v/>
      </c>
      <c r="F107" s="11">
        <f>IF($K107=F$8,1+IF(OFFSET(F107,-1,0)="",0,OFFSET(F107,-1,0)),IF(F$8&lt;$K107,IF(OFFSET(F107,-1,0)="","ERR",OFFSET(F107,-1,0)),""))</f>
        <v/>
      </c>
      <c r="G107" s="11">
        <f>IF($K107=G$8,1+IF(OFFSET(G107,-1,0)="",0,OFFSET(G107,-1,0)),IF(G$8&lt;$K107,IF(OFFSET(G107,-1,0)="","ERR",OFFSET(G107,-1,0)),""))</f>
        <v/>
      </c>
      <c r="H107" s="11">
        <f>IF($K107=H$8,1+IF(OFFSET(H107,-1,0)="",0,OFFSET(H107,-1,0)),IF(H$8&lt;$K107,IF(OFFSET(H107,-1,0)="","ERR",OFFSET(H107,-1,0)),""))</f>
        <v/>
      </c>
      <c r="I107" s="11">
        <f>IF($K107=I$8,1+IF(OFFSET(I107,-1,0)="",0,OFFSET(I107,-1,0)),IF(I$8&lt;$K107,IF(OFFSET(I107,-1,0)="","ERR",OFFSET(I107,-1,0)),""))</f>
        <v/>
      </c>
      <c r="J107" s="46">
        <f>_xlfn.TEXTJOIN(".",1,B107:I107)</f>
        <v/>
      </c>
      <c r="K107" s="46" t="inlineStr">
        <is>
          <t>Л7</t>
        </is>
      </c>
      <c r="L107" s="46" t="n"/>
      <c r="M107" s="47" t="inlineStr">
        <is>
          <t>Патч-корд U/UTP, категория 6, 2xRJ45/8p8c, неэкранированный, серый, LSZH, 0.3м, Cabeus PC-UTP-RJ45- Cat.6-0.3m-LSZH, 8875c, Cabeus</t>
        </is>
      </c>
      <c r="N107" s="46" t="inlineStr">
        <is>
          <t>шт.</t>
        </is>
      </c>
      <c r="O107" s="94">
        <f>P107+Q107+S107+V107</f>
        <v/>
      </c>
      <c r="P107" s="46" t="n"/>
      <c r="Q107" s="46" t="n"/>
      <c r="R107" s="46" t="n"/>
      <c r="S107" s="46" t="n">
        <v>15</v>
      </c>
      <c r="T107" s="46" t="n">
        <v>15</v>
      </c>
      <c r="U107" s="46" t="n"/>
      <c r="V107" s="46" t="n"/>
      <c r="W107" s="46" t="n"/>
      <c r="X107" s="46" t="n"/>
      <c r="Y107" s="46" t="n"/>
      <c r="Z107" s="46" t="n"/>
      <c r="AA107" s="48" t="n"/>
      <c r="AB107" s="179" t="n"/>
      <c r="AC107" s="189" t="n"/>
      <c r="AD107" s="189">
        <f>SUM(AB107:AC107)</f>
        <v/>
      </c>
      <c r="AE107" s="189">
        <f>AB107*$O107</f>
        <v/>
      </c>
      <c r="AF107" s="189">
        <f>AC107*$O107</f>
        <v/>
      </c>
      <c r="AG107" s="189">
        <f>SUM(AE107:AF107)</f>
        <v/>
      </c>
      <c r="AH107" s="182" t="n"/>
    </row>
    <row r="108" outlineLevel="1">
      <c r="A108" s="18" t="inlineStr">
        <is>
          <t>О</t>
        </is>
      </c>
      <c r="B108" s="11">
        <f>IF($K108=B$8,1+IF(OFFSET(B108,-1,0)="",0,OFFSET(B108,-1,0)),IF(B$8&lt;$K108,IF(OFFSET(B108,-1,0)="","ERR",OFFSET(B108,-1,0)),""))</f>
        <v/>
      </c>
      <c r="C108" s="11">
        <f>IF($K108=C$8,1+IF(OFFSET(C108,-1,0)="",0,OFFSET(C108,-1,0)),IF(C$8&lt;$K108,IF(OFFSET(C108,-1,0)="","ERR",OFFSET(C108,-1,0)),""))</f>
        <v/>
      </c>
      <c r="D108" s="11">
        <f>IF($K108=D$8,1+IF(OFFSET(D108,-1,0)="",0,OFFSET(D108,-1,0)),IF(D$8&lt;$K108,IF(OFFSET(D108,-1,0)="","ERR",OFFSET(D108,-1,0)),""))</f>
        <v/>
      </c>
      <c r="E108" s="11">
        <f>IF($K108=E$8,1+IF(OFFSET(E108,-1,0)="",0,OFFSET(E108,-1,0)),IF(E$8&lt;$K108,IF(OFFSET(E108,-1,0)="","ERR",OFFSET(E108,-1,0)),""))</f>
        <v/>
      </c>
      <c r="F108" s="11">
        <f>IF($K108=F$8,1+IF(OFFSET(F108,-1,0)="",0,OFFSET(F108,-1,0)),IF(F$8&lt;$K108,IF(OFFSET(F108,-1,0)="","ERR",OFFSET(F108,-1,0)),""))</f>
        <v/>
      </c>
      <c r="G108" s="11">
        <f>IF($K108=G$8,1+IF(OFFSET(G108,-1,0)="",0,OFFSET(G108,-1,0)),IF(G$8&lt;$K108,IF(OFFSET(G108,-1,0)="","ERR",OFFSET(G108,-1,0)),""))</f>
        <v/>
      </c>
      <c r="H108" s="11">
        <f>IF($K108=H$8,1+IF(OFFSET(H108,-1,0)="",0,OFFSET(H108,-1,0)),IF(H$8&lt;$K108,IF(OFFSET(H108,-1,0)="","ERR",OFFSET(H108,-1,0)),""))</f>
        <v/>
      </c>
      <c r="I108" s="11">
        <f>IF($K108=I$8,1+IF(OFFSET(I108,-1,0)="",0,OFFSET(I108,-1,0)),IF(I$8&lt;$K108,IF(OFFSET(I108,-1,0)="","ERR",OFFSET(I108,-1,0)),""))</f>
        <v/>
      </c>
      <c r="J108" s="46">
        <f>_xlfn.TEXTJOIN(".",1,B108:I108)</f>
        <v/>
      </c>
      <c r="K108" s="46" t="inlineStr">
        <is>
          <t>Л7</t>
        </is>
      </c>
      <c r="L108" s="46" t="n"/>
      <c r="M108" s="47" t="inlineStr">
        <is>
          <t>Шнур оптический duplex  LC-LC 9/125 sm 1м LSZH, Cabeus FOP(d)-9-LC-LC-1m, Cabeus</t>
        </is>
      </c>
      <c r="N108" s="46" t="inlineStr">
        <is>
          <t>шт.</t>
        </is>
      </c>
      <c r="O108" s="94">
        <f>P108+Q108+S108+V108</f>
        <v/>
      </c>
      <c r="P108" s="46" t="n"/>
      <c r="Q108" s="46" t="n"/>
      <c r="R108" s="46" t="n"/>
      <c r="S108" s="46" t="n">
        <v>9</v>
      </c>
      <c r="T108" s="46" t="n">
        <v>9</v>
      </c>
      <c r="U108" s="46" t="n"/>
      <c r="V108" s="46" t="n"/>
      <c r="W108" s="46" t="n"/>
      <c r="X108" s="46" t="n"/>
      <c r="Y108" s="46" t="n"/>
      <c r="Z108" s="46" t="n"/>
      <c r="AA108" s="48" t="n"/>
      <c r="AB108" s="179" t="n"/>
      <c r="AC108" s="189" t="n"/>
      <c r="AD108" s="189">
        <f>SUM(AB108:AC108)</f>
        <v/>
      </c>
      <c r="AE108" s="189">
        <f>AB108*$O108</f>
        <v/>
      </c>
      <c r="AF108" s="189">
        <f>AC108*$O108</f>
        <v/>
      </c>
      <c r="AG108" s="189">
        <f>SUM(AE108:AF108)</f>
        <v/>
      </c>
      <c r="AH108" s="182" t="n"/>
    </row>
    <row r="109" outlineLevel="1">
      <c r="A109" s="18" t="inlineStr">
        <is>
          <t>О</t>
        </is>
      </c>
      <c r="B109" s="11">
        <f>IF($K109=B$8,1+IF(OFFSET(B109,-1,0)="",0,OFFSET(B109,-1,0)),IF(B$8&lt;$K109,IF(OFFSET(B109,-1,0)="","ERR",OFFSET(B109,-1,0)),""))</f>
        <v/>
      </c>
      <c r="C109" s="11">
        <f>IF($K109=C$8,1+IF(OFFSET(C109,-1,0)="",0,OFFSET(C109,-1,0)),IF(C$8&lt;$K109,IF(OFFSET(C109,-1,0)="","ERR",OFFSET(C109,-1,0)),""))</f>
        <v/>
      </c>
      <c r="D109" s="11">
        <f>IF($K109=D$8,1+IF(OFFSET(D109,-1,0)="",0,OFFSET(D109,-1,0)),IF(D$8&lt;$K109,IF(OFFSET(D109,-1,0)="","ERR",OFFSET(D109,-1,0)),""))</f>
        <v/>
      </c>
      <c r="E109" s="11">
        <f>IF($K109=E$8,1+IF(OFFSET(E109,-1,0)="",0,OFFSET(E109,-1,0)),IF(E$8&lt;$K109,IF(OFFSET(E109,-1,0)="","ERR",OFFSET(E109,-1,0)),""))</f>
        <v/>
      </c>
      <c r="F109" s="11">
        <f>IF($K109=F$8,1+IF(OFFSET(F109,-1,0)="",0,OFFSET(F109,-1,0)),IF(F$8&lt;$K109,IF(OFFSET(F109,-1,0)="","ERR",OFFSET(F109,-1,0)),""))</f>
        <v/>
      </c>
      <c r="G109" s="11">
        <f>IF($K109=G$8,1+IF(OFFSET(G109,-1,0)="",0,OFFSET(G109,-1,0)),IF(G$8&lt;$K109,IF(OFFSET(G109,-1,0)="","ERR",OFFSET(G109,-1,0)),""))</f>
        <v/>
      </c>
      <c r="H109" s="11">
        <f>IF($K109=H$8,1+IF(OFFSET(H109,-1,0)="",0,OFFSET(H109,-1,0)),IF(H$8&lt;$K109,IF(OFFSET(H109,-1,0)="","ERR",OFFSET(H109,-1,0)),""))</f>
        <v/>
      </c>
      <c r="I109" s="11">
        <f>IF($K109=I$8,1+IF(OFFSET(I109,-1,0)="",0,OFFSET(I109,-1,0)),IF(I$8&lt;$K109,IF(OFFSET(I109,-1,0)="","ERR",OFFSET(I109,-1,0)),""))</f>
        <v/>
      </c>
      <c r="J109" s="46">
        <f>_xlfn.TEXTJOIN(".",1,B109:I109)</f>
        <v/>
      </c>
      <c r="K109" s="46" t="inlineStr">
        <is>
          <t>Л7</t>
        </is>
      </c>
      <c r="L109" s="46" t="n"/>
      <c r="M109" s="47" t="inlineStr">
        <is>
          <t>Ролики для напольных шкафов нагрузка до 600 кг, ШТК-М-150, ТМ «ЦМО»</t>
        </is>
      </c>
      <c r="N109" s="46" t="inlineStr">
        <is>
          <t>шт.</t>
        </is>
      </c>
      <c r="O109" s="94">
        <f>P109+Q109+S109+V109</f>
        <v/>
      </c>
      <c r="P109" s="46" t="n"/>
      <c r="Q109" s="46" t="n"/>
      <c r="R109" s="46" t="n"/>
      <c r="S109" s="46" t="n">
        <v>1</v>
      </c>
      <c r="T109" s="46" t="n">
        <v>1</v>
      </c>
      <c r="U109" s="46" t="n"/>
      <c r="V109" s="46" t="n"/>
      <c r="W109" s="46" t="n"/>
      <c r="X109" s="46" t="n"/>
      <c r="Y109" s="46" t="n"/>
      <c r="Z109" s="46" t="n"/>
      <c r="AA109" s="48" t="n"/>
      <c r="AB109" s="179" t="n"/>
      <c r="AC109" s="189" t="n"/>
      <c r="AD109" s="189">
        <f>SUM(AB109:AC109)</f>
        <v/>
      </c>
      <c r="AE109" s="189">
        <f>AB109*$O109</f>
        <v/>
      </c>
      <c r="AF109" s="189">
        <f>AC109*$O109</f>
        <v/>
      </c>
      <c r="AG109" s="189">
        <f>SUM(AE109:AF109)</f>
        <v/>
      </c>
      <c r="AH109" s="182" t="n"/>
    </row>
    <row r="110" outlineLevel="1">
      <c r="A110" s="18" t="inlineStr">
        <is>
          <t>О</t>
        </is>
      </c>
      <c r="B110" s="11">
        <f>IF($K110=B$8,1+IF(OFFSET(B110,-1,0)="",0,OFFSET(B110,-1,0)),IF(B$8&lt;$K110,IF(OFFSET(B110,-1,0)="","ERR",OFFSET(B110,-1,0)),""))</f>
        <v/>
      </c>
      <c r="C110" s="11">
        <f>IF($K110=C$8,1+IF(OFFSET(C110,-1,0)="",0,OFFSET(C110,-1,0)),IF(C$8&lt;$K110,IF(OFFSET(C110,-1,0)="","ERR",OFFSET(C110,-1,0)),""))</f>
        <v/>
      </c>
      <c r="D110" s="11">
        <f>IF($K110=D$8,1+IF(OFFSET(D110,-1,0)="",0,OFFSET(D110,-1,0)),IF(D$8&lt;$K110,IF(OFFSET(D110,-1,0)="","ERR",OFFSET(D110,-1,0)),""))</f>
        <v/>
      </c>
      <c r="E110" s="11">
        <f>IF($K110=E$8,1+IF(OFFSET(E110,-1,0)="",0,OFFSET(E110,-1,0)),IF(E$8&lt;$K110,IF(OFFSET(E110,-1,0)="","ERR",OFFSET(E110,-1,0)),""))</f>
        <v/>
      </c>
      <c r="F110" s="11">
        <f>IF($K110=F$8,1+IF(OFFSET(F110,-1,0)="",0,OFFSET(F110,-1,0)),IF(F$8&lt;$K110,IF(OFFSET(F110,-1,0)="","ERR",OFFSET(F110,-1,0)),""))</f>
        <v/>
      </c>
      <c r="G110" s="11">
        <f>IF($K110=G$8,1+IF(OFFSET(G110,-1,0)="",0,OFFSET(G110,-1,0)),IF(G$8&lt;$K110,IF(OFFSET(G110,-1,0)="","ERR",OFFSET(G110,-1,0)),""))</f>
        <v/>
      </c>
      <c r="H110" s="11">
        <f>IF($K110=H$8,1+IF(OFFSET(H110,-1,0)="",0,OFFSET(H110,-1,0)),IF(H$8&lt;$K110,IF(OFFSET(H110,-1,0)="","ERR",OFFSET(H110,-1,0)),""))</f>
        <v/>
      </c>
      <c r="I110" s="11">
        <f>IF($K110=I$8,1+IF(OFFSET(I110,-1,0)="",0,OFFSET(I110,-1,0)),IF(I$8&lt;$K110,IF(OFFSET(I110,-1,0)="","ERR",OFFSET(I110,-1,0)),""))</f>
        <v/>
      </c>
      <c r="J110" s="46">
        <f>_xlfn.TEXTJOIN(".",1,B110:I110)</f>
        <v/>
      </c>
      <c r="K110" s="46" t="inlineStr">
        <is>
          <t>Л7</t>
        </is>
      </c>
      <c r="L110" s="46" t="n"/>
      <c r="M110" s="47" t="inlineStr">
        <is>
          <t>Кабель питания C13 - CEE 7/7, 1.2м, Cabeus PC-186-VDE-1.0-1.2M, Cabeus</t>
        </is>
      </c>
      <c r="N110" s="46" t="inlineStr">
        <is>
          <t>шт.</t>
        </is>
      </c>
      <c r="O110" s="94">
        <f>P110+Q110+S110+V110</f>
        <v/>
      </c>
      <c r="P110" s="46" t="n"/>
      <c r="Q110" s="46" t="n"/>
      <c r="R110" s="46" t="n"/>
      <c r="S110" s="46" t="n">
        <v>2</v>
      </c>
      <c r="T110" s="46" t="n">
        <v>2</v>
      </c>
      <c r="U110" s="46" t="n"/>
      <c r="V110" s="46" t="n"/>
      <c r="W110" s="46" t="n"/>
      <c r="X110" s="46" t="n"/>
      <c r="Y110" s="46" t="n"/>
      <c r="Z110" s="46" t="n"/>
      <c r="AA110" s="48" t="n"/>
      <c r="AB110" s="179" t="n"/>
      <c r="AC110" s="189" t="n"/>
      <c r="AD110" s="189">
        <f>SUM(AB110:AC110)</f>
        <v/>
      </c>
      <c r="AE110" s="189">
        <f>AB110*$O110</f>
        <v/>
      </c>
      <c r="AF110" s="189">
        <f>AC110*$O110</f>
        <v/>
      </c>
      <c r="AG110" s="189">
        <f>SUM(AE110:AF110)</f>
        <v/>
      </c>
      <c r="AH110" s="182" t="n"/>
    </row>
    <row r="111" outlineLevel="1">
      <c r="A111" s="18" t="inlineStr">
        <is>
          <t>О</t>
        </is>
      </c>
      <c r="B111" s="11">
        <f>IF($K111=B$8,1+IF(OFFSET(B111,-1,0)="",0,OFFSET(B111,-1,0)),IF(B$8&lt;$K111,IF(OFFSET(B111,-1,0)="","ERR",OFFSET(B111,-1,0)),""))</f>
        <v/>
      </c>
      <c r="C111" s="11">
        <f>IF($K111=C$8,1+IF(OFFSET(C111,-1,0)="",0,OFFSET(C111,-1,0)),IF(C$8&lt;$K111,IF(OFFSET(C111,-1,0)="","ERR",OFFSET(C111,-1,0)),""))</f>
        <v/>
      </c>
      <c r="D111" s="11">
        <f>IF($K111=D$8,1+IF(OFFSET(D111,-1,0)="",0,OFFSET(D111,-1,0)),IF(D$8&lt;$K111,IF(OFFSET(D111,-1,0)="","ERR",OFFSET(D111,-1,0)),""))</f>
        <v/>
      </c>
      <c r="E111" s="11">
        <f>IF($K111=E$8,1+IF(OFFSET(E111,-1,0)="",0,OFFSET(E111,-1,0)),IF(E$8&lt;$K111,IF(OFFSET(E111,-1,0)="","ERR",OFFSET(E111,-1,0)),""))</f>
        <v/>
      </c>
      <c r="F111" s="11">
        <f>IF($K111=F$8,1+IF(OFFSET(F111,-1,0)="",0,OFFSET(F111,-1,0)),IF(F$8&lt;$K111,IF(OFFSET(F111,-1,0)="","ERR",OFFSET(F111,-1,0)),""))</f>
        <v/>
      </c>
      <c r="G111" s="11">
        <f>IF($K111=G$8,1+IF(OFFSET(G111,-1,0)="",0,OFFSET(G111,-1,0)),IF(G$8&lt;$K111,IF(OFFSET(G111,-1,0)="","ERR",OFFSET(G111,-1,0)),""))</f>
        <v/>
      </c>
      <c r="H111" s="11">
        <f>IF($K111=H$8,1+IF(OFFSET(H111,-1,0)="",0,OFFSET(H111,-1,0)),IF(H$8&lt;$K111,IF(OFFSET(H111,-1,0)="","ERR",OFFSET(H111,-1,0)),""))</f>
        <v/>
      </c>
      <c r="I111" s="11">
        <f>IF($K111=I$8,1+IF(OFFSET(I111,-1,0)="",0,OFFSET(I111,-1,0)),IF(I$8&lt;$K111,IF(OFFSET(I111,-1,0)="","ERR",OFFSET(I111,-1,0)),""))</f>
        <v/>
      </c>
      <c r="J111" s="46">
        <f>_xlfn.TEXTJOIN(".",1,B111:I111)</f>
        <v/>
      </c>
      <c r="K111" s="46" t="inlineStr">
        <is>
          <t>Л7</t>
        </is>
      </c>
      <c r="L111" s="46" t="n"/>
      <c r="M111" s="47" t="inlineStr">
        <is>
          <t>Розетка компьютерная RJ-45, кат. 6, одинарная, внешняя, Dual IDC., WS-8P8C-Cat.6-1, Cabeus</t>
        </is>
      </c>
      <c r="N111" s="46" t="inlineStr">
        <is>
          <t>шт.</t>
        </is>
      </c>
      <c r="O111" s="94">
        <f>P111+Q111+S111+V111</f>
        <v/>
      </c>
      <c r="P111" s="46" t="n"/>
      <c r="Q111" s="46" t="n"/>
      <c r="R111" s="46" t="n"/>
      <c r="S111" s="46" t="n">
        <v>6</v>
      </c>
      <c r="T111" s="46" t="n">
        <v>6</v>
      </c>
      <c r="U111" s="46" t="n"/>
      <c r="V111" s="46" t="n"/>
      <c r="W111" s="46" t="n"/>
      <c r="X111" s="46" t="n"/>
      <c r="Y111" s="46" t="n"/>
      <c r="Z111" s="46" t="n"/>
      <c r="AA111" s="48" t="n"/>
      <c r="AB111" s="179" t="n"/>
      <c r="AC111" s="189" t="n"/>
      <c r="AD111" s="189">
        <f>SUM(AB111:AC111)</f>
        <v/>
      </c>
      <c r="AE111" s="189">
        <f>AB111*$O111</f>
        <v/>
      </c>
      <c r="AF111" s="189">
        <f>AC111*$O111</f>
        <v/>
      </c>
      <c r="AG111" s="189">
        <f>SUM(AE111:AF111)</f>
        <v/>
      </c>
      <c r="AH111" s="182" t="n"/>
    </row>
    <row r="112" outlineLevel="1">
      <c r="A112" s="18" t="inlineStr">
        <is>
          <t>О</t>
        </is>
      </c>
      <c r="B112" s="11">
        <f>IF($K112=B$8,1+IF(OFFSET(B112,-1,0)="",0,OFFSET(B112,-1,0)),IF(B$8&lt;$K112,IF(OFFSET(B112,-1,0)="","ERR",OFFSET(B112,-1,0)),""))</f>
        <v/>
      </c>
      <c r="C112" s="11">
        <f>IF($K112=C$8,1+IF(OFFSET(C112,-1,0)="",0,OFFSET(C112,-1,0)),IF(C$8&lt;$K112,IF(OFFSET(C112,-1,0)="","ERR",OFFSET(C112,-1,0)),""))</f>
        <v/>
      </c>
      <c r="D112" s="11">
        <f>IF($K112=D$8,1+IF(OFFSET(D112,-1,0)="",0,OFFSET(D112,-1,0)),IF(D$8&lt;$K112,IF(OFFSET(D112,-1,0)="","ERR",OFFSET(D112,-1,0)),""))</f>
        <v/>
      </c>
      <c r="E112" s="11">
        <f>IF($K112=E$8,1+IF(OFFSET(E112,-1,0)="",0,OFFSET(E112,-1,0)),IF(E$8&lt;$K112,IF(OFFSET(E112,-1,0)="","ERR",OFFSET(E112,-1,0)),""))</f>
        <v/>
      </c>
      <c r="F112" s="11">
        <f>IF($K112=F$8,1+IF(OFFSET(F112,-1,0)="",0,OFFSET(F112,-1,0)),IF(F$8&lt;$K112,IF(OFFSET(F112,-1,0)="","ERR",OFFSET(F112,-1,0)),""))</f>
        <v/>
      </c>
      <c r="G112" s="11">
        <f>IF($K112=G$8,1+IF(OFFSET(G112,-1,0)="",0,OFFSET(G112,-1,0)),IF(G$8&lt;$K112,IF(OFFSET(G112,-1,0)="","ERR",OFFSET(G112,-1,0)),""))</f>
        <v/>
      </c>
      <c r="H112" s="11">
        <f>IF($K112=H$8,1+IF(OFFSET(H112,-1,0)="",0,OFFSET(H112,-1,0)),IF(H$8&lt;$K112,IF(OFFSET(H112,-1,0)="","ERR",OFFSET(H112,-1,0)),""))</f>
        <v/>
      </c>
      <c r="I112" s="11">
        <f>IF($K112=I$8,1+IF(OFFSET(I112,-1,0)="",0,OFFSET(I112,-1,0)),IF(I$8&lt;$K112,IF(OFFSET(I112,-1,0)="","ERR",OFFSET(I112,-1,0)),""))</f>
        <v/>
      </c>
      <c r="J112" s="46">
        <f>_xlfn.TEXTJOIN(".",1,B112:I112)</f>
        <v/>
      </c>
      <c r="K112" s="46" t="inlineStr">
        <is>
          <t>Л7</t>
        </is>
      </c>
      <c r="L112" s="46" t="n"/>
      <c r="M112" s="64" t="inlineStr">
        <is>
          <t>Сопутствующие и прочие материалы*</t>
        </is>
      </c>
      <c r="N112" s="46" t="inlineStr">
        <is>
          <t>компл</t>
        </is>
      </c>
      <c r="O112" s="94">
        <f>P112+Q112+S112+V112</f>
        <v/>
      </c>
      <c r="P112" s="46" t="n"/>
      <c r="Q112" s="46" t="n"/>
      <c r="R112" s="46" t="n"/>
      <c r="S112" s="46" t="n">
        <v>1</v>
      </c>
      <c r="T112" s="46" t="n">
        <v>1</v>
      </c>
      <c r="U112" s="46" t="n"/>
      <c r="V112" s="46" t="n"/>
      <c r="W112" s="46" t="n"/>
      <c r="X112" s="46" t="n"/>
      <c r="Y112" s="46" t="n"/>
      <c r="Z112" s="46" t="n"/>
      <c r="AA112" s="48" t="n"/>
      <c r="AB112" s="179" t="n"/>
      <c r="AC112" s="189" t="n"/>
      <c r="AD112" s="189">
        <f>SUM(AB112:AC112)</f>
        <v/>
      </c>
      <c r="AE112" s="189">
        <f>AB112*$O112</f>
        <v/>
      </c>
      <c r="AF112" s="189">
        <f>AC112*$O112</f>
        <v/>
      </c>
      <c r="AG112" s="189">
        <f>SUM(AE112:AF112)</f>
        <v/>
      </c>
      <c r="AH112" s="182" t="n"/>
    </row>
    <row r="113" outlineLevel="1">
      <c r="A113" s="18" t="inlineStr">
        <is>
          <t>О</t>
        </is>
      </c>
      <c r="B113" s="11">
        <f>IF($K113=B$8,1+IF(OFFSET(B113,-1,0)="",0,OFFSET(B113,-1,0)),IF(B$8&lt;$K113,IF(OFFSET(B113,-1,0)="","ERR",OFFSET(B113,-1,0)),""))</f>
        <v/>
      </c>
      <c r="C113" s="11">
        <f>IF($K113=C$8,1+IF(OFFSET(C113,-1,0)="",0,OFFSET(C113,-1,0)),IF(C$8&lt;$K113,IF(OFFSET(C113,-1,0)="","ERR",OFFSET(C113,-1,0)),""))</f>
        <v/>
      </c>
      <c r="D113" s="11">
        <f>IF($K113=D$8,1+IF(OFFSET(D113,-1,0)="",0,OFFSET(D113,-1,0)),IF(D$8&lt;$K113,IF(OFFSET(D113,-1,0)="","ERR",OFFSET(D113,-1,0)),""))</f>
        <v/>
      </c>
      <c r="E113" s="11">
        <f>IF($K113=E$8,1+IF(OFFSET(E113,-1,0)="",0,OFFSET(E113,-1,0)),IF(E$8&lt;$K113,IF(OFFSET(E113,-1,0)="","ERR",OFFSET(E113,-1,0)),""))</f>
        <v/>
      </c>
      <c r="F113" s="11">
        <f>IF($K113=F$8,1+IF(OFFSET(F113,-1,0)="",0,OFFSET(F113,-1,0)),IF(F$8&lt;$K113,IF(OFFSET(F113,-1,0)="","ERR",OFFSET(F113,-1,0)),""))</f>
        <v/>
      </c>
      <c r="G113" s="11">
        <f>IF($K113=G$8,1+IF(OFFSET(G113,-1,0)="",0,OFFSET(G113,-1,0)),IF(G$8&lt;$K113,IF(OFFSET(G113,-1,0)="","ERR",OFFSET(G113,-1,0)),""))</f>
        <v/>
      </c>
      <c r="H113" s="11">
        <f>IF($K113=H$8,1+IF(OFFSET(H113,-1,0)="",0,OFFSET(H113,-1,0)),IF(H$8&lt;$K113,IF(OFFSET(H113,-1,0)="","ERR",OFFSET(H113,-1,0)),""))</f>
        <v/>
      </c>
      <c r="I113" s="11">
        <f>IF($K113=I$8,1+IF(OFFSET(I113,-1,0)="",0,OFFSET(I113,-1,0)),IF(I$8&lt;$K113,IF(OFFSET(I113,-1,0)="","ERR",OFFSET(I113,-1,0)),""))</f>
        <v/>
      </c>
      <c r="J113" s="46">
        <f>_xlfn.TEXTJOIN(".",1,B113:I113)</f>
        <v/>
      </c>
      <c r="K113" s="46" t="inlineStr">
        <is>
          <t>Л6</t>
        </is>
      </c>
      <c r="L113" s="46" t="inlineStr">
        <is>
          <t>3.3.3.7.1.1</t>
        </is>
      </c>
      <c r="M113" s="47" t="inlineStr">
        <is>
          <t>Монтаж телекоммуникационного шкафа/стойка (ТШ) напольного комплектного</t>
        </is>
      </c>
      <c r="N113" s="46" t="inlineStr">
        <is>
          <t>компл</t>
        </is>
      </c>
      <c r="O113" s="94">
        <f>P113+Q113+S113+V113</f>
        <v/>
      </c>
      <c r="P113" s="46" t="n"/>
      <c r="Q113" s="46" t="n"/>
      <c r="R113" s="46" t="n"/>
      <c r="S113" s="46" t="n"/>
      <c r="T113" s="46" t="n"/>
      <c r="U113" s="46" t="n">
        <v>1</v>
      </c>
      <c r="V113" s="46" t="n">
        <v>1</v>
      </c>
      <c r="W113" s="46" t="n"/>
      <c r="X113" s="46" t="n"/>
      <c r="Y113" s="46" t="n"/>
      <c r="Z113" s="46" t="n"/>
      <c r="AA113" s="48" t="inlineStr">
        <is>
          <t>ТШ СКС 6</t>
        </is>
      </c>
      <c r="AB113" s="187" t="n"/>
      <c r="AC113" s="180" t="n">
        <v>105000</v>
      </c>
      <c r="AD113" s="189">
        <f>SUM(AB113:AC113)</f>
        <v/>
      </c>
      <c r="AE113" s="189">
        <f>AB113*$O113</f>
        <v/>
      </c>
      <c r="AF113" s="189">
        <f>AC113*$O113</f>
        <v/>
      </c>
      <c r="AG113" s="189">
        <f>SUM(AE113:AF113)</f>
        <v/>
      </c>
      <c r="AH113" s="182" t="n"/>
    </row>
    <row r="114" outlineLevel="1">
      <c r="A114" s="18" t="inlineStr">
        <is>
          <t>О</t>
        </is>
      </c>
      <c r="B114" s="11">
        <f>IF($K114=B$8,1+IF(OFFSET(B114,-1,0)="",0,OFFSET(B114,-1,0)),IF(B$8&lt;$K114,IF(OFFSET(B114,-1,0)="","ERR",OFFSET(B114,-1,0)),""))</f>
        <v/>
      </c>
      <c r="C114" s="11">
        <f>IF($K114=C$8,1+IF(OFFSET(C114,-1,0)="",0,OFFSET(C114,-1,0)),IF(C$8&lt;$K114,IF(OFFSET(C114,-1,0)="","ERR",OFFSET(C114,-1,0)),""))</f>
        <v/>
      </c>
      <c r="D114" s="11">
        <f>IF($K114=D$8,1+IF(OFFSET(D114,-1,0)="",0,OFFSET(D114,-1,0)),IF(D$8&lt;$K114,IF(OFFSET(D114,-1,0)="","ERR",OFFSET(D114,-1,0)),""))</f>
        <v/>
      </c>
      <c r="E114" s="11">
        <f>IF($K114=E$8,1+IF(OFFSET(E114,-1,0)="",0,OFFSET(E114,-1,0)),IF(E$8&lt;$K114,IF(OFFSET(E114,-1,0)="","ERR",OFFSET(E114,-1,0)),""))</f>
        <v/>
      </c>
      <c r="F114" s="11">
        <f>IF($K114=F$8,1+IF(OFFSET(F114,-1,0)="",0,OFFSET(F114,-1,0)),IF(F$8&lt;$K114,IF(OFFSET(F114,-1,0)="","ERR",OFFSET(F114,-1,0)),""))</f>
        <v/>
      </c>
      <c r="G114" s="11">
        <f>IF($K114=G$8,1+IF(OFFSET(G114,-1,0)="",0,OFFSET(G114,-1,0)),IF(G$8&lt;$K114,IF(OFFSET(G114,-1,0)="","ERR",OFFSET(G114,-1,0)),""))</f>
        <v/>
      </c>
      <c r="H114" s="11">
        <f>IF($K114=H$8,1+IF(OFFSET(H114,-1,0)="",0,OFFSET(H114,-1,0)),IF(H$8&lt;$K114,IF(OFFSET(H114,-1,0)="","ERR",OFFSET(H114,-1,0)),""))</f>
        <v/>
      </c>
      <c r="I114" s="11">
        <f>IF($K114=I$8,1+IF(OFFSET(I114,-1,0)="",0,OFFSET(I114,-1,0)),IF(I$8&lt;$K114,IF(OFFSET(I114,-1,0)="","ERR",OFFSET(I114,-1,0)),""))</f>
        <v/>
      </c>
      <c r="J114" s="46">
        <f>_xlfn.TEXTJOIN(".",1,B114:I114)</f>
        <v/>
      </c>
      <c r="K114" s="46" t="inlineStr">
        <is>
          <t>Л7</t>
        </is>
      </c>
      <c r="L114" s="46" t="n"/>
      <c r="M114" s="47" t="inlineStr">
        <is>
          <t>Шкаф телекоммуникационный 19", напольный, 42U, 600х800 мм , ШТК-М-42.6.8-1ААА-9005, ТМ «ЦМО»</t>
        </is>
      </c>
      <c r="N114" s="46" t="inlineStr">
        <is>
          <t>шт.</t>
        </is>
      </c>
      <c r="O114" s="94">
        <f>P114+Q114+S114+V114</f>
        <v/>
      </c>
      <c r="P114" s="46" t="n"/>
      <c r="Q114" s="46" t="n"/>
      <c r="R114" s="46" t="n"/>
      <c r="S114" s="46" t="n"/>
      <c r="T114" s="46" t="n"/>
      <c r="U114" s="46" t="n">
        <v>1</v>
      </c>
      <c r="V114" s="46" t="n">
        <v>1</v>
      </c>
      <c r="W114" s="46" t="n"/>
      <c r="X114" s="46" t="n"/>
      <c r="Y114" s="46" t="n"/>
      <c r="Z114" s="46" t="n"/>
      <c r="AA114" s="48" t="n"/>
      <c r="AB114" s="179" t="n"/>
      <c r="AC114" s="189" t="n"/>
      <c r="AD114" s="189">
        <f>SUM(AB114:AC114)</f>
        <v/>
      </c>
      <c r="AE114" s="189">
        <f>AB114*$O114</f>
        <v/>
      </c>
      <c r="AF114" s="189">
        <f>AC114*$O114</f>
        <v/>
      </c>
      <c r="AG114" s="189">
        <f>SUM(AE114:AF114)</f>
        <v/>
      </c>
      <c r="AH114" s="182" t="n"/>
    </row>
    <row r="115" outlineLevel="1">
      <c r="A115" s="18" t="inlineStr">
        <is>
          <t>О</t>
        </is>
      </c>
      <c r="B115" s="11">
        <f>IF($K115=B$8,1+IF(OFFSET(B115,-1,0)="",0,OFFSET(B115,-1,0)),IF(B$8&lt;$K115,IF(OFFSET(B115,-1,0)="","ERR",OFFSET(B115,-1,0)),""))</f>
        <v/>
      </c>
      <c r="C115" s="11">
        <f>IF($K115=C$8,1+IF(OFFSET(C115,-1,0)="",0,OFFSET(C115,-1,0)),IF(C$8&lt;$K115,IF(OFFSET(C115,-1,0)="","ERR",OFFSET(C115,-1,0)),""))</f>
        <v/>
      </c>
      <c r="D115" s="11">
        <f>IF($K115=D$8,1+IF(OFFSET(D115,-1,0)="",0,OFFSET(D115,-1,0)),IF(D$8&lt;$K115,IF(OFFSET(D115,-1,0)="","ERR",OFFSET(D115,-1,0)),""))</f>
        <v/>
      </c>
      <c r="E115" s="11">
        <f>IF($K115=E$8,1+IF(OFFSET(E115,-1,0)="",0,OFFSET(E115,-1,0)),IF(E$8&lt;$K115,IF(OFFSET(E115,-1,0)="","ERR",OFFSET(E115,-1,0)),""))</f>
        <v/>
      </c>
      <c r="F115" s="11">
        <f>IF($K115=F$8,1+IF(OFFSET(F115,-1,0)="",0,OFFSET(F115,-1,0)),IF(F$8&lt;$K115,IF(OFFSET(F115,-1,0)="","ERR",OFFSET(F115,-1,0)),""))</f>
        <v/>
      </c>
      <c r="G115" s="11">
        <f>IF($K115=G$8,1+IF(OFFSET(G115,-1,0)="",0,OFFSET(G115,-1,0)),IF(G$8&lt;$K115,IF(OFFSET(G115,-1,0)="","ERR",OFFSET(G115,-1,0)),""))</f>
        <v/>
      </c>
      <c r="H115" s="11">
        <f>IF($K115=H$8,1+IF(OFFSET(H115,-1,0)="",0,OFFSET(H115,-1,0)),IF(H$8&lt;$K115,IF(OFFSET(H115,-1,0)="","ERR",OFFSET(H115,-1,0)),""))</f>
        <v/>
      </c>
      <c r="I115" s="11">
        <f>IF($K115=I$8,1+IF(OFFSET(I115,-1,0)="",0,OFFSET(I115,-1,0)),IF(I$8&lt;$K115,IF(OFFSET(I115,-1,0)="","ERR",OFFSET(I115,-1,0)),""))</f>
        <v/>
      </c>
      <c r="J115" s="46">
        <f>_xlfn.TEXTJOIN(".",1,B115:I115)</f>
        <v/>
      </c>
      <c r="K115" s="46" t="inlineStr">
        <is>
          <t>Л7</t>
        </is>
      </c>
      <c r="L115" s="46" t="n"/>
      <c r="M115" s="47" t="inlineStr">
        <is>
          <t>Модули вентиляторные потолочные, R-FAN-3T, ТМ «ЦМО»</t>
        </is>
      </c>
      <c r="N115" s="46" t="inlineStr">
        <is>
          <t>шт.</t>
        </is>
      </c>
      <c r="O115" s="94">
        <f>P115+Q115+S115+V115</f>
        <v/>
      </c>
      <c r="P115" s="46" t="n"/>
      <c r="Q115" s="46" t="n"/>
      <c r="R115" s="46" t="n"/>
      <c r="S115" s="46" t="n"/>
      <c r="T115" s="46" t="n"/>
      <c r="U115" s="46" t="n">
        <v>2</v>
      </c>
      <c r="V115" s="46" t="n">
        <v>2</v>
      </c>
      <c r="W115" s="46" t="n"/>
      <c r="X115" s="46" t="n"/>
      <c r="Y115" s="46" t="n"/>
      <c r="Z115" s="46" t="n"/>
      <c r="AA115" s="48" t="n"/>
      <c r="AB115" s="179" t="n"/>
      <c r="AC115" s="189" t="n"/>
      <c r="AD115" s="189">
        <f>SUM(AB115:AC115)</f>
        <v/>
      </c>
      <c r="AE115" s="189">
        <f>AB115*$O115</f>
        <v/>
      </c>
      <c r="AF115" s="189">
        <f>AC115*$O115</f>
        <v/>
      </c>
      <c r="AG115" s="189">
        <f>SUM(AE115:AF115)</f>
        <v/>
      </c>
      <c r="AH115" s="182" t="n"/>
    </row>
    <row r="116" outlineLevel="1">
      <c r="A116" s="18" t="inlineStr">
        <is>
          <t>О</t>
        </is>
      </c>
      <c r="B116" s="11">
        <f>IF($K116=B$8,1+IF(OFFSET(B116,-1,0)="",0,OFFSET(B116,-1,0)),IF(B$8&lt;$K116,IF(OFFSET(B116,-1,0)="","ERR",OFFSET(B116,-1,0)),""))</f>
        <v/>
      </c>
      <c r="C116" s="11">
        <f>IF($K116=C$8,1+IF(OFFSET(C116,-1,0)="",0,OFFSET(C116,-1,0)),IF(C$8&lt;$K116,IF(OFFSET(C116,-1,0)="","ERR",OFFSET(C116,-1,0)),""))</f>
        <v/>
      </c>
      <c r="D116" s="11">
        <f>IF($K116=D$8,1+IF(OFFSET(D116,-1,0)="",0,OFFSET(D116,-1,0)),IF(D$8&lt;$K116,IF(OFFSET(D116,-1,0)="","ERR",OFFSET(D116,-1,0)),""))</f>
        <v/>
      </c>
      <c r="E116" s="11">
        <f>IF($K116=E$8,1+IF(OFFSET(E116,-1,0)="",0,OFFSET(E116,-1,0)),IF(E$8&lt;$K116,IF(OFFSET(E116,-1,0)="","ERR",OFFSET(E116,-1,0)),""))</f>
        <v/>
      </c>
      <c r="F116" s="11">
        <f>IF($K116=F$8,1+IF(OFFSET(F116,-1,0)="",0,OFFSET(F116,-1,0)),IF(F$8&lt;$K116,IF(OFFSET(F116,-1,0)="","ERR",OFFSET(F116,-1,0)),""))</f>
        <v/>
      </c>
      <c r="G116" s="11">
        <f>IF($K116=G$8,1+IF(OFFSET(G116,-1,0)="",0,OFFSET(G116,-1,0)),IF(G$8&lt;$K116,IF(OFFSET(G116,-1,0)="","ERR",OFFSET(G116,-1,0)),""))</f>
        <v/>
      </c>
      <c r="H116" s="11">
        <f>IF($K116=H$8,1+IF(OFFSET(H116,-1,0)="",0,OFFSET(H116,-1,0)),IF(H$8&lt;$K116,IF(OFFSET(H116,-1,0)="","ERR",OFFSET(H116,-1,0)),""))</f>
        <v/>
      </c>
      <c r="I116" s="11">
        <f>IF($K116=I$8,1+IF(OFFSET(I116,-1,0)="",0,OFFSET(I116,-1,0)),IF(I$8&lt;$K116,IF(OFFSET(I116,-1,0)="","ERR",OFFSET(I116,-1,0)),""))</f>
        <v/>
      </c>
      <c r="J116" s="46">
        <f>_xlfn.TEXTJOIN(".",1,B116:I116)</f>
        <v/>
      </c>
      <c r="K116" s="46" t="inlineStr">
        <is>
          <t>Л7</t>
        </is>
      </c>
      <c r="L116" s="46" t="n"/>
      <c r="M116" s="47" t="inlineStr">
        <is>
          <t>Панель осветительная светодиодная, цвет черный, R-LED-220-B, ТМ «ЦМО»</t>
        </is>
      </c>
      <c r="N116" s="46" t="inlineStr">
        <is>
          <t>шт.</t>
        </is>
      </c>
      <c r="O116" s="94">
        <f>P116+Q116+S116+V116</f>
        <v/>
      </c>
      <c r="P116" s="46" t="n"/>
      <c r="Q116" s="46" t="n"/>
      <c r="R116" s="46" t="n"/>
      <c r="S116" s="46" t="n"/>
      <c r="T116" s="46" t="n"/>
      <c r="U116" s="46" t="n">
        <v>1</v>
      </c>
      <c r="V116" s="46" t="n">
        <v>1</v>
      </c>
      <c r="W116" s="46" t="n"/>
      <c r="X116" s="46" t="n"/>
      <c r="Y116" s="46" t="n"/>
      <c r="Z116" s="46" t="n"/>
      <c r="AA116" s="48" t="n"/>
      <c r="AB116" s="179" t="n"/>
      <c r="AC116" s="189" t="n"/>
      <c r="AD116" s="189">
        <f>SUM(AB116:AC116)</f>
        <v/>
      </c>
      <c r="AE116" s="189">
        <f>AB116*$O116</f>
        <v/>
      </c>
      <c r="AF116" s="189">
        <f>AC116*$O116</f>
        <v/>
      </c>
      <c r="AG116" s="189">
        <f>SUM(AE116:AF116)</f>
        <v/>
      </c>
      <c r="AH116" s="182" t="n"/>
    </row>
    <row r="117" outlineLevel="1" ht="25.5" customHeight="1">
      <c r="A117" s="18" t="inlineStr">
        <is>
          <t>О</t>
        </is>
      </c>
      <c r="B117" s="11">
        <f>IF($K117=B$8,1+IF(OFFSET(B117,-1,0)="",0,OFFSET(B117,-1,0)),IF(B$8&lt;$K117,IF(OFFSET(B117,-1,0)="","ERR",OFFSET(B117,-1,0)),""))</f>
        <v/>
      </c>
      <c r="C117" s="11">
        <f>IF($K117=C$8,1+IF(OFFSET(C117,-1,0)="",0,OFFSET(C117,-1,0)),IF(C$8&lt;$K117,IF(OFFSET(C117,-1,0)="","ERR",OFFSET(C117,-1,0)),""))</f>
        <v/>
      </c>
      <c r="D117" s="11">
        <f>IF($K117=D$8,1+IF(OFFSET(D117,-1,0)="",0,OFFSET(D117,-1,0)),IF(D$8&lt;$K117,IF(OFFSET(D117,-1,0)="","ERR",OFFSET(D117,-1,0)),""))</f>
        <v/>
      </c>
      <c r="E117" s="11">
        <f>IF($K117=E$8,1+IF(OFFSET(E117,-1,0)="",0,OFFSET(E117,-1,0)),IF(E$8&lt;$K117,IF(OFFSET(E117,-1,0)="","ERR",OFFSET(E117,-1,0)),""))</f>
        <v/>
      </c>
      <c r="F117" s="11">
        <f>IF($K117=F$8,1+IF(OFFSET(F117,-1,0)="",0,OFFSET(F117,-1,0)),IF(F$8&lt;$K117,IF(OFFSET(F117,-1,0)="","ERR",OFFSET(F117,-1,0)),""))</f>
        <v/>
      </c>
      <c r="G117" s="11">
        <f>IF($K117=G$8,1+IF(OFFSET(G117,-1,0)="",0,OFFSET(G117,-1,0)),IF(G$8&lt;$K117,IF(OFFSET(G117,-1,0)="","ERR",OFFSET(G117,-1,0)),""))</f>
        <v/>
      </c>
      <c r="H117" s="11">
        <f>IF($K117=H$8,1+IF(OFFSET(H117,-1,0)="",0,OFFSET(H117,-1,0)),IF(H$8&lt;$K117,IF(OFFSET(H117,-1,0)="","ERR",OFFSET(H117,-1,0)),""))</f>
        <v/>
      </c>
      <c r="I117" s="11">
        <f>IF($K117=I$8,1+IF(OFFSET(I117,-1,0)="",0,OFFSET(I117,-1,0)),IF(I$8&lt;$K117,IF(OFFSET(I117,-1,0)="","ERR",OFFSET(I117,-1,0)),""))</f>
        <v/>
      </c>
      <c r="J117" s="52">
        <f>_xlfn.TEXTJOIN(".",1,B117:I117)</f>
        <v/>
      </c>
      <c r="K117" s="52" t="inlineStr">
        <is>
          <t>Л7</t>
        </is>
      </c>
      <c r="L117" s="52" t="n"/>
      <c r="M11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117" s="52" t="inlineStr">
        <is>
          <t>шт.</t>
        </is>
      </c>
      <c r="O117" s="73">
        <f>P117+Q117+S117+V117</f>
        <v/>
      </c>
      <c r="P117" s="52" t="n"/>
      <c r="Q117" s="52" t="n"/>
      <c r="R117" s="52" t="n"/>
      <c r="S117" s="52" t="n"/>
      <c r="T117" s="52" t="n"/>
      <c r="U117" s="52" t="n">
        <v>1</v>
      </c>
      <c r="V117" s="52" t="n">
        <v>1</v>
      </c>
      <c r="W117" s="52" t="n"/>
      <c r="X117" s="52" t="n"/>
      <c r="Y117" s="52" t="n"/>
      <c r="Z117" s="52" t="n"/>
      <c r="AA117" s="54" t="n"/>
      <c r="AB117" s="179" t="n"/>
      <c r="AC117" s="189" t="n"/>
      <c r="AD117" s="189">
        <f>SUM(AB117:AC117)</f>
        <v/>
      </c>
      <c r="AE117" s="189">
        <f>AB117*$O117</f>
        <v/>
      </c>
      <c r="AF117" s="189">
        <f>AC117*$O117</f>
        <v/>
      </c>
      <c r="AG117" s="189">
        <f>SUM(AE117:AF117)</f>
        <v/>
      </c>
      <c r="AH117" s="182" t="n"/>
    </row>
    <row r="118" outlineLevel="1">
      <c r="A118" s="18" t="inlineStr">
        <is>
          <t>О</t>
        </is>
      </c>
      <c r="B118" s="11">
        <f>IF($K118=B$8,1+IF(OFFSET(B118,-1,0)="",0,OFFSET(B118,-1,0)),IF(B$8&lt;$K118,IF(OFFSET(B118,-1,0)="","ERR",OFFSET(B118,-1,0)),""))</f>
        <v/>
      </c>
      <c r="C118" s="11">
        <f>IF($K118=C$8,1+IF(OFFSET(C118,-1,0)="",0,OFFSET(C118,-1,0)),IF(C$8&lt;$K118,IF(OFFSET(C118,-1,0)="","ERR",OFFSET(C118,-1,0)),""))</f>
        <v/>
      </c>
      <c r="D118" s="11">
        <f>IF($K118=D$8,1+IF(OFFSET(D118,-1,0)="",0,OFFSET(D118,-1,0)),IF(D$8&lt;$K118,IF(OFFSET(D118,-1,0)="","ERR",OFFSET(D118,-1,0)),""))</f>
        <v/>
      </c>
      <c r="E118" s="11">
        <f>IF($K118=E$8,1+IF(OFFSET(E118,-1,0)="",0,OFFSET(E118,-1,0)),IF(E$8&lt;$K118,IF(OFFSET(E118,-1,0)="","ERR",OFFSET(E118,-1,0)),""))</f>
        <v/>
      </c>
      <c r="F118" s="11">
        <f>IF($K118=F$8,1+IF(OFFSET(F118,-1,0)="",0,OFFSET(F118,-1,0)),IF(F$8&lt;$K118,IF(OFFSET(F118,-1,0)="","ERR",OFFSET(F118,-1,0)),""))</f>
        <v/>
      </c>
      <c r="G118" s="11">
        <f>IF($K118=G$8,1+IF(OFFSET(G118,-1,0)="",0,OFFSET(G118,-1,0)),IF(G$8&lt;$K118,IF(OFFSET(G118,-1,0)="","ERR",OFFSET(G118,-1,0)),""))</f>
        <v/>
      </c>
      <c r="H118" s="11">
        <f>IF($K118=H$8,1+IF(OFFSET(H118,-1,0)="",0,OFFSET(H118,-1,0)),IF(H$8&lt;$K118,IF(OFFSET(H118,-1,0)="","ERR",OFFSET(H118,-1,0)),""))</f>
        <v/>
      </c>
      <c r="I118" s="11">
        <f>IF($K118=I$8,1+IF(OFFSET(I118,-1,0)="",0,OFFSET(I118,-1,0)),IF(I$8&lt;$K118,IF(OFFSET(I118,-1,0)="","ERR",OFFSET(I118,-1,0)),""))</f>
        <v/>
      </c>
      <c r="J118" s="46">
        <f>_xlfn.TEXTJOIN(".",1,B118:I118)</f>
        <v/>
      </c>
      <c r="K118" s="46" t="inlineStr">
        <is>
          <t>Л7</t>
        </is>
      </c>
      <c r="L118" s="46" t="n"/>
      <c r="M118" s="47" t="inlineStr">
        <is>
          <t>Кабельный органайзер 19" 1U, ГКО-4.62-9005, ТМ «ЦМО»</t>
        </is>
      </c>
      <c r="N118" s="46" t="inlineStr">
        <is>
          <t>шт.</t>
        </is>
      </c>
      <c r="O118" s="94">
        <f>P118+Q118+S118+V118</f>
        <v/>
      </c>
      <c r="P118" s="46" t="n"/>
      <c r="Q118" s="46" t="n"/>
      <c r="R118" s="46" t="n"/>
      <c r="S118" s="46" t="n"/>
      <c r="T118" s="46" t="n"/>
      <c r="U118" s="46" t="n">
        <v>6</v>
      </c>
      <c r="V118" s="46" t="n">
        <v>6</v>
      </c>
      <c r="W118" s="46" t="n"/>
      <c r="X118" s="46" t="n"/>
      <c r="Y118" s="46" t="n"/>
      <c r="Z118" s="46" t="n"/>
      <c r="AA118" s="48" t="n"/>
      <c r="AB118" s="179" t="n"/>
      <c r="AC118" s="189" t="n"/>
      <c r="AD118" s="189">
        <f>SUM(AB118:AC118)</f>
        <v/>
      </c>
      <c r="AE118" s="189">
        <f>AB118*$O118</f>
        <v/>
      </c>
      <c r="AF118" s="189">
        <f>AC118*$O118</f>
        <v/>
      </c>
      <c r="AG118" s="189">
        <f>SUM(AE118:AF118)</f>
        <v/>
      </c>
      <c r="AH118" s="182" t="n"/>
    </row>
    <row r="119" outlineLevel="1" ht="25.5" customHeight="1">
      <c r="A119" s="18" t="inlineStr">
        <is>
          <t>О</t>
        </is>
      </c>
      <c r="B119" s="11">
        <f>IF($K119=B$8,1+IF(OFFSET(B119,-1,0)="",0,OFFSET(B119,-1,0)),IF(B$8&lt;$K119,IF(OFFSET(B119,-1,0)="","ERR",OFFSET(B119,-1,0)),""))</f>
        <v/>
      </c>
      <c r="C119" s="11">
        <f>IF($K119=C$8,1+IF(OFFSET(C119,-1,0)="",0,OFFSET(C119,-1,0)),IF(C$8&lt;$K119,IF(OFFSET(C119,-1,0)="","ERR",OFFSET(C119,-1,0)),""))</f>
        <v/>
      </c>
      <c r="D119" s="11">
        <f>IF($K119=D$8,1+IF(OFFSET(D119,-1,0)="",0,OFFSET(D119,-1,0)),IF(D$8&lt;$K119,IF(OFFSET(D119,-1,0)="","ERR",OFFSET(D119,-1,0)),""))</f>
        <v/>
      </c>
      <c r="E119" s="11">
        <f>IF($K119=E$8,1+IF(OFFSET(E119,-1,0)="",0,OFFSET(E119,-1,0)),IF(E$8&lt;$K119,IF(OFFSET(E119,-1,0)="","ERR",OFFSET(E119,-1,0)),""))</f>
        <v/>
      </c>
      <c r="F119" s="11">
        <f>IF($K119=F$8,1+IF(OFFSET(F119,-1,0)="",0,OFFSET(F119,-1,0)),IF(F$8&lt;$K119,IF(OFFSET(F119,-1,0)="","ERR",OFFSET(F119,-1,0)),""))</f>
        <v/>
      </c>
      <c r="G119" s="11">
        <f>IF($K119=G$8,1+IF(OFFSET(G119,-1,0)="",0,OFFSET(G119,-1,0)),IF(G$8&lt;$K119,IF(OFFSET(G119,-1,0)="","ERR",OFFSET(G119,-1,0)),""))</f>
        <v/>
      </c>
      <c r="H119" s="11">
        <f>IF($K119=H$8,1+IF(OFFSET(H119,-1,0)="",0,OFFSET(H119,-1,0)),IF(H$8&lt;$K119,IF(OFFSET(H119,-1,0)="","ERR",OFFSET(H119,-1,0)),""))</f>
        <v/>
      </c>
      <c r="I119" s="11">
        <f>IF($K119=I$8,1+IF(OFFSET(I119,-1,0)="",0,OFFSET(I119,-1,0)),IF(I$8&lt;$K119,IF(OFFSET(I119,-1,0)="","ERR",OFFSET(I119,-1,0)),""))</f>
        <v/>
      </c>
      <c r="J119" s="49">
        <f>_xlfn.TEXTJOIN(".",1,B119:I119)</f>
        <v/>
      </c>
      <c r="K119" s="49" t="inlineStr">
        <is>
          <t>Л7</t>
        </is>
      </c>
      <c r="L119" s="49" t="n"/>
      <c r="M11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119" s="49" t="inlineStr">
        <is>
          <t>шт.</t>
        </is>
      </c>
      <c r="O119" s="50">
        <f>P119+Q119+S119+V119</f>
        <v/>
      </c>
      <c r="P119" s="49" t="n"/>
      <c r="Q119" s="49" t="n"/>
      <c r="R119" s="49" t="n"/>
      <c r="S119" s="49" t="n"/>
      <c r="T119" s="49" t="n"/>
      <c r="U119" s="49" t="n">
        <v>2</v>
      </c>
      <c r="V119" s="49" t="n">
        <v>2</v>
      </c>
      <c r="W119" s="50" t="n">
        <v>1</v>
      </c>
      <c r="X119" s="26" t="n">
        <v>5040070405</v>
      </c>
      <c r="Y119" s="26" t="n">
        <v>772201001</v>
      </c>
      <c r="Z119" s="26" t="inlineStr">
        <is>
          <t>ООО "ЛУИС+"</t>
        </is>
      </c>
      <c r="AA119" s="51" t="inlineStr">
        <is>
          <t>ГТ</t>
        </is>
      </c>
      <c r="AB119" s="188" t="n"/>
      <c r="AC119" s="189" t="n"/>
      <c r="AD119" s="190">
        <f>SUM(AB119:AC119)</f>
        <v/>
      </c>
      <c r="AE119" s="190">
        <f>AB119*$O119*$W119</f>
        <v/>
      </c>
      <c r="AF119" s="190">
        <f>AC119*$O119*$W119</f>
        <v/>
      </c>
      <c r="AG119" s="190">
        <f>SUM(AE119:AF119)</f>
        <v/>
      </c>
      <c r="AH119" s="182" t="n"/>
    </row>
    <row r="120" outlineLevel="1" ht="25.5" customHeight="1">
      <c r="A120" s="18" t="inlineStr">
        <is>
          <t>О</t>
        </is>
      </c>
      <c r="B120" s="11">
        <f>IF($K120=B$8,1+IF(OFFSET(B120,-1,0)="",0,OFFSET(B120,-1,0)),IF(B$8&lt;$K120,IF(OFFSET(B120,-1,0)="","ERR",OFFSET(B120,-1,0)),""))</f>
        <v/>
      </c>
      <c r="C120" s="11">
        <f>IF($K120=C$8,1+IF(OFFSET(C120,-1,0)="",0,OFFSET(C120,-1,0)),IF(C$8&lt;$K120,IF(OFFSET(C120,-1,0)="","ERR",OFFSET(C120,-1,0)),""))</f>
        <v/>
      </c>
      <c r="D120" s="11">
        <f>IF($K120=D$8,1+IF(OFFSET(D120,-1,0)="",0,OFFSET(D120,-1,0)),IF(D$8&lt;$K120,IF(OFFSET(D120,-1,0)="","ERR",OFFSET(D120,-1,0)),""))</f>
        <v/>
      </c>
      <c r="E120" s="11">
        <f>IF($K120=E$8,1+IF(OFFSET(E120,-1,0)="",0,OFFSET(E120,-1,0)),IF(E$8&lt;$K120,IF(OFFSET(E120,-1,0)="","ERR",OFFSET(E120,-1,0)),""))</f>
        <v/>
      </c>
      <c r="F120" s="11">
        <f>IF($K120=F$8,1+IF(OFFSET(F120,-1,0)="",0,OFFSET(F120,-1,0)),IF(F$8&lt;$K120,IF(OFFSET(F120,-1,0)="","ERR",OFFSET(F120,-1,0)),""))</f>
        <v/>
      </c>
      <c r="G120" s="11">
        <f>IF($K120=G$8,1+IF(OFFSET(G120,-1,0)="",0,OFFSET(G120,-1,0)),IF(G$8&lt;$K120,IF(OFFSET(G120,-1,0)="","ERR",OFFSET(G120,-1,0)),""))</f>
        <v/>
      </c>
      <c r="H120" s="11">
        <f>IF($K120=H$8,1+IF(OFFSET(H120,-1,0)="",0,OFFSET(H120,-1,0)),IF(H$8&lt;$K120,IF(OFFSET(H120,-1,0)="","ERR",OFFSET(H120,-1,0)),""))</f>
        <v/>
      </c>
      <c r="I120" s="11">
        <f>IF($K120=I$8,1+IF(OFFSET(I120,-1,0)="",0,OFFSET(I120,-1,0)),IF(I$8&lt;$K120,IF(OFFSET(I120,-1,0)="","ERR",OFFSET(I120,-1,0)),""))</f>
        <v/>
      </c>
      <c r="J120" s="49">
        <f>_xlfn.TEXTJOIN(".",1,B120:I120)</f>
        <v/>
      </c>
      <c r="K120" s="49" t="inlineStr">
        <is>
          <t>Л7</t>
        </is>
      </c>
      <c r="L120" s="49" t="n"/>
      <c r="M120" s="63" t="inlineStr">
        <is>
          <t>L2 коммутатор с 24 портами PoE 100 Мбит/с и 2 портами combo Uplink 1000 Мбит/с RJ-45/SFP, LTV-3S24G4C-MP, LTV</t>
        </is>
      </c>
      <c r="N120" s="49" t="inlineStr">
        <is>
          <t>шт.</t>
        </is>
      </c>
      <c r="O120" s="50">
        <f>P120+Q120+S120+V120</f>
        <v/>
      </c>
      <c r="P120" s="49" t="n"/>
      <c r="Q120" s="49" t="n"/>
      <c r="R120" s="49" t="n"/>
      <c r="S120" s="49" t="n"/>
      <c r="T120" s="49" t="n"/>
      <c r="U120" s="49" t="n">
        <v>1</v>
      </c>
      <c r="V120" s="49" t="n">
        <v>1</v>
      </c>
      <c r="W120" s="50" t="n">
        <v>1</v>
      </c>
      <c r="X120" s="26" t="n">
        <v>5040070405</v>
      </c>
      <c r="Y120" s="26" t="n">
        <v>772201001</v>
      </c>
      <c r="Z120" s="26" t="inlineStr">
        <is>
          <t>ООО "ЛУИС+"</t>
        </is>
      </c>
      <c r="AA120" s="51" t="inlineStr">
        <is>
          <t>ГТ</t>
        </is>
      </c>
      <c r="AB120" s="188" t="n"/>
      <c r="AC120" s="189" t="n"/>
      <c r="AD120" s="190">
        <f>SUM(AB120:AC120)</f>
        <v/>
      </c>
      <c r="AE120" s="190">
        <f>AB120*$O120*$W120</f>
        <v/>
      </c>
      <c r="AF120" s="190">
        <f>AC120*$O120*$W120</f>
        <v/>
      </c>
      <c r="AG120" s="190">
        <f>SUM(AE120:AF120)</f>
        <v/>
      </c>
      <c r="AH120" s="182" t="n"/>
    </row>
    <row r="121" outlineLevel="1">
      <c r="A121" s="18" t="inlineStr">
        <is>
          <t>О</t>
        </is>
      </c>
      <c r="B121" s="11">
        <f>IF($K121=B$8,1+IF(OFFSET(B121,-1,0)="",0,OFFSET(B121,-1,0)),IF(B$8&lt;$K121,IF(OFFSET(B121,-1,0)="","ERR",OFFSET(B121,-1,0)),""))</f>
        <v/>
      </c>
      <c r="C121" s="11">
        <f>IF($K121=C$8,1+IF(OFFSET(C121,-1,0)="",0,OFFSET(C121,-1,0)),IF(C$8&lt;$K121,IF(OFFSET(C121,-1,0)="","ERR",OFFSET(C121,-1,0)),""))</f>
        <v/>
      </c>
      <c r="D121" s="11">
        <f>IF($K121=D$8,1+IF(OFFSET(D121,-1,0)="",0,OFFSET(D121,-1,0)),IF(D$8&lt;$K121,IF(OFFSET(D121,-1,0)="","ERR",OFFSET(D121,-1,0)),""))</f>
        <v/>
      </c>
      <c r="E121" s="11">
        <f>IF($K121=E$8,1+IF(OFFSET(E121,-1,0)="",0,OFFSET(E121,-1,0)),IF(E$8&lt;$K121,IF(OFFSET(E121,-1,0)="","ERR",OFFSET(E121,-1,0)),""))</f>
        <v/>
      </c>
      <c r="F121" s="11">
        <f>IF($K121=F$8,1+IF(OFFSET(F121,-1,0)="",0,OFFSET(F121,-1,0)),IF(F$8&lt;$K121,IF(OFFSET(F121,-1,0)="","ERR",OFFSET(F121,-1,0)),""))</f>
        <v/>
      </c>
      <c r="G121" s="11">
        <f>IF($K121=G$8,1+IF(OFFSET(G121,-1,0)="",0,OFFSET(G121,-1,0)),IF(G$8&lt;$K121,IF(OFFSET(G121,-1,0)="","ERR",OFFSET(G121,-1,0)),""))</f>
        <v/>
      </c>
      <c r="H121" s="11">
        <f>IF($K121=H$8,1+IF(OFFSET(H121,-1,0)="",0,OFFSET(H121,-1,0)),IF(H$8&lt;$K121,IF(OFFSET(H121,-1,0)="","ERR",OFFSET(H121,-1,0)),""))</f>
        <v/>
      </c>
      <c r="I121" s="11">
        <f>IF($K121=I$8,1+IF(OFFSET(I121,-1,0)="",0,OFFSET(I121,-1,0)),IF(I$8&lt;$K121,IF(OFFSET(I121,-1,0)="","ERR",OFFSET(I121,-1,0)),""))</f>
        <v/>
      </c>
      <c r="J121" s="46">
        <f>_xlfn.TEXTJOIN(".",1,B121:I121)</f>
        <v/>
      </c>
      <c r="K121" s="46" t="inlineStr">
        <is>
          <t>Л7</t>
        </is>
      </c>
      <c r="L121" s="46" t="n"/>
      <c r="M121" s="47" t="inlineStr">
        <is>
          <t>Патч-панель 19" (1U), 24 порта RJ-45, категория 6, DUAL, PL-24-Cat.6-Dual, Cabeus</t>
        </is>
      </c>
      <c r="N121" s="46" t="inlineStr">
        <is>
          <t>шт.</t>
        </is>
      </c>
      <c r="O121" s="94">
        <f>P121+Q121+S121+V121</f>
        <v/>
      </c>
      <c r="P121" s="46" t="n"/>
      <c r="Q121" s="46" t="n"/>
      <c r="R121" s="46" t="n"/>
      <c r="S121" s="46" t="n"/>
      <c r="T121" s="46" t="n"/>
      <c r="U121" s="46" t="n">
        <v>1</v>
      </c>
      <c r="V121" s="46" t="n">
        <v>1</v>
      </c>
      <c r="W121" s="46" t="n"/>
      <c r="X121" s="46" t="n"/>
      <c r="Y121" s="46" t="n"/>
      <c r="Z121" s="46" t="n"/>
      <c r="AA121" s="48" t="n"/>
      <c r="AB121" s="179" t="n"/>
      <c r="AC121" s="189" t="n"/>
      <c r="AD121" s="189">
        <f>SUM(AB121:AC121)</f>
        <v/>
      </c>
      <c r="AE121" s="189">
        <f>AB121*$O121</f>
        <v/>
      </c>
      <c r="AF121" s="189">
        <f>AC121*$O121</f>
        <v/>
      </c>
      <c r="AG121" s="189">
        <f>SUM(AE121:AF121)</f>
        <v/>
      </c>
      <c r="AH121" s="182" t="n"/>
    </row>
    <row r="122" outlineLevel="1">
      <c r="A122" s="18" t="inlineStr">
        <is>
          <t>О</t>
        </is>
      </c>
      <c r="B122" s="11">
        <f>IF($K122=B$8,1+IF(OFFSET(B122,-1,0)="",0,OFFSET(B122,-1,0)),IF(B$8&lt;$K122,IF(OFFSET(B122,-1,0)="","ERR",OFFSET(B122,-1,0)),""))</f>
        <v/>
      </c>
      <c r="C122" s="11">
        <f>IF($K122=C$8,1+IF(OFFSET(C122,-1,0)="",0,OFFSET(C122,-1,0)),IF(C$8&lt;$K122,IF(OFFSET(C122,-1,0)="","ERR",OFFSET(C122,-1,0)),""))</f>
        <v/>
      </c>
      <c r="D122" s="11">
        <f>IF($K122=D$8,1+IF(OFFSET(D122,-1,0)="",0,OFFSET(D122,-1,0)),IF(D$8&lt;$K122,IF(OFFSET(D122,-1,0)="","ERR",OFFSET(D122,-1,0)),""))</f>
        <v/>
      </c>
      <c r="E122" s="11">
        <f>IF($K122=E$8,1+IF(OFFSET(E122,-1,0)="",0,OFFSET(E122,-1,0)),IF(E$8&lt;$K122,IF(OFFSET(E122,-1,0)="","ERR",OFFSET(E122,-1,0)),""))</f>
        <v/>
      </c>
      <c r="F122" s="11">
        <f>IF($K122=F$8,1+IF(OFFSET(F122,-1,0)="",0,OFFSET(F122,-1,0)),IF(F$8&lt;$K122,IF(OFFSET(F122,-1,0)="","ERR",OFFSET(F122,-1,0)),""))</f>
        <v/>
      </c>
      <c r="G122" s="11">
        <f>IF($K122=G$8,1+IF(OFFSET(G122,-1,0)="",0,OFFSET(G122,-1,0)),IF(G$8&lt;$K122,IF(OFFSET(G122,-1,0)="","ERR",OFFSET(G122,-1,0)),""))</f>
        <v/>
      </c>
      <c r="H122" s="11">
        <f>IF($K122=H$8,1+IF(OFFSET(H122,-1,0)="",0,OFFSET(H122,-1,0)),IF(H$8&lt;$K122,IF(OFFSET(H122,-1,0)="","ERR",OFFSET(H122,-1,0)),""))</f>
        <v/>
      </c>
      <c r="I122" s="11">
        <f>IF($K122=I$8,1+IF(OFFSET(I122,-1,0)="",0,OFFSET(I122,-1,0)),IF(I$8&lt;$K122,IF(OFFSET(I122,-1,0)="","ERR",OFFSET(I122,-1,0)),""))</f>
        <v/>
      </c>
      <c r="J122" s="46">
        <f>_xlfn.TEXTJOIN(".",1,B122:I122)</f>
        <v/>
      </c>
      <c r="K122" s="46" t="inlineStr">
        <is>
          <t>Л7</t>
        </is>
      </c>
      <c r="L122" s="46" t="n"/>
      <c r="M122" s="47" t="inlineStr">
        <is>
          <t>Розетка на DIN-рейку с защитным контактом, 16А, 2P, 220В, IP20, РМ-102 16А, Systeme Electric</t>
        </is>
      </c>
      <c r="N122" s="46" t="inlineStr">
        <is>
          <t>шт.</t>
        </is>
      </c>
      <c r="O122" s="94">
        <f>P122+Q122+S122+V122</f>
        <v/>
      </c>
      <c r="P122" s="46" t="n"/>
      <c r="Q122" s="46" t="n"/>
      <c r="R122" s="46" t="n"/>
      <c r="S122" s="46" t="n"/>
      <c r="T122" s="46" t="n"/>
      <c r="U122" s="46" t="n">
        <v>4</v>
      </c>
      <c r="V122" s="46" t="n">
        <v>4</v>
      </c>
      <c r="W122" s="46" t="n"/>
      <c r="X122" s="46" t="n"/>
      <c r="Y122" s="46" t="n"/>
      <c r="Z122" s="46" t="n"/>
      <c r="AA122" s="48" t="n"/>
      <c r="AB122" s="179" t="n"/>
      <c r="AC122" s="189" t="n"/>
      <c r="AD122" s="189">
        <f>SUM(AB122:AC122)</f>
        <v/>
      </c>
      <c r="AE122" s="189">
        <f>AB122*$O122</f>
        <v/>
      </c>
      <c r="AF122" s="189">
        <f>AC122*$O122</f>
        <v/>
      </c>
      <c r="AG122" s="189">
        <f>SUM(AE122:AF122)</f>
        <v/>
      </c>
      <c r="AH122" s="182" t="n"/>
    </row>
    <row r="123" outlineLevel="1">
      <c r="A123" s="18" t="inlineStr">
        <is>
          <t>О</t>
        </is>
      </c>
      <c r="B123" s="11">
        <f>IF($K123=B$8,1+IF(OFFSET(B123,-1,0)="",0,OFFSET(B123,-1,0)),IF(B$8&lt;$K123,IF(OFFSET(B123,-1,0)="","ERR",OFFSET(B123,-1,0)),""))</f>
        <v/>
      </c>
      <c r="C123" s="11">
        <f>IF($K123=C$8,1+IF(OFFSET(C123,-1,0)="",0,OFFSET(C123,-1,0)),IF(C$8&lt;$K123,IF(OFFSET(C123,-1,0)="","ERR",OFFSET(C123,-1,0)),""))</f>
        <v/>
      </c>
      <c r="D123" s="11">
        <f>IF($K123=D$8,1+IF(OFFSET(D123,-1,0)="",0,OFFSET(D123,-1,0)),IF(D$8&lt;$K123,IF(OFFSET(D123,-1,0)="","ERR",OFFSET(D123,-1,0)),""))</f>
        <v/>
      </c>
      <c r="E123" s="11">
        <f>IF($K123=E$8,1+IF(OFFSET(E123,-1,0)="",0,OFFSET(E123,-1,0)),IF(E$8&lt;$K123,IF(OFFSET(E123,-1,0)="","ERR",OFFSET(E123,-1,0)),""))</f>
        <v/>
      </c>
      <c r="F123" s="11">
        <f>IF($K123=F$8,1+IF(OFFSET(F123,-1,0)="",0,OFFSET(F123,-1,0)),IF(F$8&lt;$K123,IF(OFFSET(F123,-1,0)="","ERR",OFFSET(F123,-1,0)),""))</f>
        <v/>
      </c>
      <c r="G123" s="11">
        <f>IF($K123=G$8,1+IF(OFFSET(G123,-1,0)="",0,OFFSET(G123,-1,0)),IF(G$8&lt;$K123,IF(OFFSET(G123,-1,0)="","ERR",OFFSET(G123,-1,0)),""))</f>
        <v/>
      </c>
      <c r="H123" s="11">
        <f>IF($K123=H$8,1+IF(OFFSET(H123,-1,0)="",0,OFFSET(H123,-1,0)),IF(H$8&lt;$K123,IF(OFFSET(H123,-1,0)="","ERR",OFFSET(H123,-1,0)),""))</f>
        <v/>
      </c>
      <c r="I123" s="11">
        <f>IF($K123=I$8,1+IF(OFFSET(I123,-1,0)="",0,OFFSET(I123,-1,0)),IF(I$8&lt;$K123,IF(OFFSET(I123,-1,0)="","ERR",OFFSET(I123,-1,0)),""))</f>
        <v/>
      </c>
      <c r="J123" s="46">
        <f>_xlfn.TEXTJOIN(".",1,B123:I123)</f>
        <v/>
      </c>
      <c r="K123" s="46" t="inlineStr">
        <is>
          <t>Л7</t>
        </is>
      </c>
      <c r="L123" s="46" t="n"/>
      <c r="M123" s="47" t="inlineStr">
        <is>
          <t>Реле контроля однофазного напряжения на DIN-рейку, 1P, 12663, Systeme Electric</t>
        </is>
      </c>
      <c r="N123" s="46" t="inlineStr">
        <is>
          <t>шт.</t>
        </is>
      </c>
      <c r="O123" s="94">
        <f>P123+Q123+S123+V123</f>
        <v/>
      </c>
      <c r="P123" s="46" t="n"/>
      <c r="Q123" s="46" t="n"/>
      <c r="R123" s="46" t="n"/>
      <c r="S123" s="46" t="n"/>
      <c r="T123" s="46" t="n"/>
      <c r="U123" s="46" t="n">
        <v>1</v>
      </c>
      <c r="V123" s="46" t="n">
        <v>1</v>
      </c>
      <c r="W123" s="46" t="n"/>
      <c r="X123" s="46" t="n"/>
      <c r="Y123" s="46" t="n"/>
      <c r="Z123" s="46" t="n"/>
      <c r="AA123" s="48" t="n"/>
      <c r="AB123" s="179" t="n"/>
      <c r="AC123" s="189" t="n"/>
      <c r="AD123" s="189">
        <f>SUM(AB123:AC123)</f>
        <v/>
      </c>
      <c r="AE123" s="189">
        <f>AB123*$O123</f>
        <v/>
      </c>
      <c r="AF123" s="189">
        <f>AC123*$O123</f>
        <v/>
      </c>
      <c r="AG123" s="189">
        <f>SUM(AE123:AF123)</f>
        <v/>
      </c>
      <c r="AH123" s="182" t="n"/>
    </row>
    <row r="124" outlineLevel="1">
      <c r="A124" s="18" t="inlineStr">
        <is>
          <t>О</t>
        </is>
      </c>
      <c r="B124" s="11">
        <f>IF($K124=B$8,1+IF(OFFSET(B124,-1,0)="",0,OFFSET(B124,-1,0)),IF(B$8&lt;$K124,IF(OFFSET(B124,-1,0)="","ERR",OFFSET(B124,-1,0)),""))</f>
        <v/>
      </c>
      <c r="C124" s="11">
        <f>IF($K124=C$8,1+IF(OFFSET(C124,-1,0)="",0,OFFSET(C124,-1,0)),IF(C$8&lt;$K124,IF(OFFSET(C124,-1,0)="","ERR",OFFSET(C124,-1,0)),""))</f>
        <v/>
      </c>
      <c r="D124" s="11">
        <f>IF($K124=D$8,1+IF(OFFSET(D124,-1,0)="",0,OFFSET(D124,-1,0)),IF(D$8&lt;$K124,IF(OFFSET(D124,-1,0)="","ERR",OFFSET(D124,-1,0)),""))</f>
        <v/>
      </c>
      <c r="E124" s="11">
        <f>IF($K124=E$8,1+IF(OFFSET(E124,-1,0)="",0,OFFSET(E124,-1,0)),IF(E$8&lt;$K124,IF(OFFSET(E124,-1,0)="","ERR",OFFSET(E124,-1,0)),""))</f>
        <v/>
      </c>
      <c r="F124" s="11">
        <f>IF($K124=F$8,1+IF(OFFSET(F124,-1,0)="",0,OFFSET(F124,-1,0)),IF(F$8&lt;$K124,IF(OFFSET(F124,-1,0)="","ERR",OFFSET(F124,-1,0)),""))</f>
        <v/>
      </c>
      <c r="G124" s="11">
        <f>IF($K124=G$8,1+IF(OFFSET(G124,-1,0)="",0,OFFSET(G124,-1,0)),IF(G$8&lt;$K124,IF(OFFSET(G124,-1,0)="","ERR",OFFSET(G124,-1,0)),""))</f>
        <v/>
      </c>
      <c r="H124" s="11">
        <f>IF($K124=H$8,1+IF(OFFSET(H124,-1,0)="",0,OFFSET(H124,-1,0)),IF(H$8&lt;$K124,IF(OFFSET(H124,-1,0)="","ERR",OFFSET(H124,-1,0)),""))</f>
        <v/>
      </c>
      <c r="I124" s="11">
        <f>IF($K124=I$8,1+IF(OFFSET(I124,-1,0)="",0,OFFSET(I124,-1,0)),IF(I$8&lt;$K124,IF(OFFSET(I124,-1,0)="","ERR",OFFSET(I124,-1,0)),""))</f>
        <v/>
      </c>
      <c r="J124" s="46">
        <f>_xlfn.TEXTJOIN(".",1,B124:I124)</f>
        <v/>
      </c>
      <c r="K124" s="46" t="inlineStr">
        <is>
          <t>Л7</t>
        </is>
      </c>
      <c r="L124" s="46" t="n"/>
      <c r="M124" s="47" t="inlineStr">
        <is>
          <t>Выключатель автоматический на DIN-рейку, 16А, C, 1P, 1- модульный, C9F14116, Systeme Electric</t>
        </is>
      </c>
      <c r="N124" s="46" t="inlineStr">
        <is>
          <t>шт.</t>
        </is>
      </c>
      <c r="O124" s="94">
        <f>P124+Q124+S124+V124</f>
        <v/>
      </c>
      <c r="P124" s="46" t="n"/>
      <c r="Q124" s="46" t="n"/>
      <c r="R124" s="46" t="n"/>
      <c r="S124" s="46" t="n"/>
      <c r="T124" s="46" t="n"/>
      <c r="U124" s="46" t="n">
        <v>1</v>
      </c>
      <c r="V124" s="46" t="n">
        <v>1</v>
      </c>
      <c r="W124" s="46" t="n"/>
      <c r="X124" s="46" t="n"/>
      <c r="Y124" s="46" t="n"/>
      <c r="Z124" s="46" t="n"/>
      <c r="AA124" s="48" t="n"/>
      <c r="AB124" s="179" t="n"/>
      <c r="AC124" s="189" t="n"/>
      <c r="AD124" s="189">
        <f>SUM(AB124:AC124)</f>
        <v/>
      </c>
      <c r="AE124" s="189">
        <f>AB124*$O124</f>
        <v/>
      </c>
      <c r="AF124" s="189">
        <f>AC124*$O124</f>
        <v/>
      </c>
      <c r="AG124" s="189">
        <f>SUM(AE124:AF124)</f>
        <v/>
      </c>
      <c r="AH124" s="182" t="n"/>
    </row>
    <row r="125" outlineLevel="1">
      <c r="A125" s="18" t="inlineStr">
        <is>
          <t>О</t>
        </is>
      </c>
      <c r="B125" s="11">
        <f>IF($K125=B$8,1+IF(OFFSET(B125,-1,0)="",0,OFFSET(B125,-1,0)),IF(B$8&lt;$K125,IF(OFFSET(B125,-1,0)="","ERR",OFFSET(B125,-1,0)),""))</f>
        <v/>
      </c>
      <c r="C125" s="11">
        <f>IF($K125=C$8,1+IF(OFFSET(C125,-1,0)="",0,OFFSET(C125,-1,0)),IF(C$8&lt;$K125,IF(OFFSET(C125,-1,0)="","ERR",OFFSET(C125,-1,0)),""))</f>
        <v/>
      </c>
      <c r="D125" s="11">
        <f>IF($K125=D$8,1+IF(OFFSET(D125,-1,0)="",0,OFFSET(D125,-1,0)),IF(D$8&lt;$K125,IF(OFFSET(D125,-1,0)="","ERR",OFFSET(D125,-1,0)),""))</f>
        <v/>
      </c>
      <c r="E125" s="11">
        <f>IF($K125=E$8,1+IF(OFFSET(E125,-1,0)="",0,OFFSET(E125,-1,0)),IF(E$8&lt;$K125,IF(OFFSET(E125,-1,0)="","ERR",OFFSET(E125,-1,0)),""))</f>
        <v/>
      </c>
      <c r="F125" s="11">
        <f>IF($K125=F$8,1+IF(OFFSET(F125,-1,0)="",0,OFFSET(F125,-1,0)),IF(F$8&lt;$K125,IF(OFFSET(F125,-1,0)="","ERR",OFFSET(F125,-1,0)),""))</f>
        <v/>
      </c>
      <c r="G125" s="11">
        <f>IF($K125=G$8,1+IF(OFFSET(G125,-1,0)="",0,OFFSET(G125,-1,0)),IF(G$8&lt;$K125,IF(OFFSET(G125,-1,0)="","ERR",OFFSET(G125,-1,0)),""))</f>
        <v/>
      </c>
      <c r="H125" s="11">
        <f>IF($K125=H$8,1+IF(OFFSET(H125,-1,0)="",0,OFFSET(H125,-1,0)),IF(H$8&lt;$K125,IF(OFFSET(H125,-1,0)="","ERR",OFFSET(H125,-1,0)),""))</f>
        <v/>
      </c>
      <c r="I125" s="11">
        <f>IF($K125=I$8,1+IF(OFFSET(I125,-1,0)="",0,OFFSET(I125,-1,0)),IF(I$8&lt;$K125,IF(OFFSET(I125,-1,0)="","ERR",OFFSET(I125,-1,0)),""))</f>
        <v/>
      </c>
      <c r="J125" s="46">
        <f>_xlfn.TEXTJOIN(".",1,B125:I125)</f>
        <v/>
      </c>
      <c r="K125" s="46" t="inlineStr">
        <is>
          <t>Л7</t>
        </is>
      </c>
      <c r="L125" s="46" t="n"/>
      <c r="M125" s="47" t="inlineStr">
        <is>
          <t>Клеммник винтовой на DIN-рейку, NSYTRV22, Systeme Electric</t>
        </is>
      </c>
      <c r="N125" s="46" t="inlineStr">
        <is>
          <t>шт.</t>
        </is>
      </c>
      <c r="O125" s="94">
        <f>P125+Q125+S125+V125</f>
        <v/>
      </c>
      <c r="P125" s="46" t="n"/>
      <c r="Q125" s="46" t="n"/>
      <c r="R125" s="46" t="n"/>
      <c r="S125" s="46" t="n"/>
      <c r="T125" s="46" t="n"/>
      <c r="U125" s="46" t="n">
        <v>2</v>
      </c>
      <c r="V125" s="46" t="n">
        <v>2</v>
      </c>
      <c r="W125" s="46" t="n"/>
      <c r="X125" s="46" t="n"/>
      <c r="Y125" s="46" t="n"/>
      <c r="Z125" s="46" t="n"/>
      <c r="AA125" s="48" t="n"/>
      <c r="AB125" s="179" t="n"/>
      <c r="AC125" s="189" t="n"/>
      <c r="AD125" s="189">
        <f>SUM(AB125:AC125)</f>
        <v/>
      </c>
      <c r="AE125" s="189">
        <f>AB125*$O125</f>
        <v/>
      </c>
      <c r="AF125" s="189">
        <f>AC125*$O125</f>
        <v/>
      </c>
      <c r="AG125" s="189">
        <f>SUM(AE125:AF125)</f>
        <v/>
      </c>
      <c r="AH125" s="182" t="n"/>
    </row>
    <row r="126" outlineLevel="1">
      <c r="A126" s="18" t="inlineStr">
        <is>
          <t>О</t>
        </is>
      </c>
      <c r="B126" s="11">
        <f>IF($K126=B$8,1+IF(OFFSET(B126,-1,0)="",0,OFFSET(B126,-1,0)),IF(B$8&lt;$K126,IF(OFFSET(B126,-1,0)="","ERR",OFFSET(B126,-1,0)),""))</f>
        <v/>
      </c>
      <c r="C126" s="11">
        <f>IF($K126=C$8,1+IF(OFFSET(C126,-1,0)="",0,OFFSET(C126,-1,0)),IF(C$8&lt;$K126,IF(OFFSET(C126,-1,0)="","ERR",OFFSET(C126,-1,0)),""))</f>
        <v/>
      </c>
      <c r="D126" s="11">
        <f>IF($K126=D$8,1+IF(OFFSET(D126,-1,0)="",0,OFFSET(D126,-1,0)),IF(D$8&lt;$K126,IF(OFFSET(D126,-1,0)="","ERR",OFFSET(D126,-1,0)),""))</f>
        <v/>
      </c>
      <c r="E126" s="11">
        <f>IF($K126=E$8,1+IF(OFFSET(E126,-1,0)="",0,OFFSET(E126,-1,0)),IF(E$8&lt;$K126,IF(OFFSET(E126,-1,0)="","ERR",OFFSET(E126,-1,0)),""))</f>
        <v/>
      </c>
      <c r="F126" s="11">
        <f>IF($K126=F$8,1+IF(OFFSET(F126,-1,0)="",0,OFFSET(F126,-1,0)),IF(F$8&lt;$K126,IF(OFFSET(F126,-1,0)="","ERR",OFFSET(F126,-1,0)),""))</f>
        <v/>
      </c>
      <c r="G126" s="11">
        <f>IF($K126=G$8,1+IF(OFFSET(G126,-1,0)="",0,OFFSET(G126,-1,0)),IF(G$8&lt;$K126,IF(OFFSET(G126,-1,0)="","ERR",OFFSET(G126,-1,0)),""))</f>
        <v/>
      </c>
      <c r="H126" s="11">
        <f>IF($K126=H$8,1+IF(OFFSET(H126,-1,0)="",0,OFFSET(H126,-1,0)),IF(H$8&lt;$K126,IF(OFFSET(H126,-1,0)="","ERR",OFFSET(H126,-1,0)),""))</f>
        <v/>
      </c>
      <c r="I126" s="11">
        <f>IF($K126=I$8,1+IF(OFFSET(I126,-1,0)="",0,OFFSET(I126,-1,0)),IF(I$8&lt;$K126,IF(OFFSET(I126,-1,0)="","ERR",OFFSET(I126,-1,0)),""))</f>
        <v/>
      </c>
      <c r="J126" s="46">
        <f>_xlfn.TEXTJOIN(".",1,B126:I126)</f>
        <v/>
      </c>
      <c r="K126" s="46" t="inlineStr">
        <is>
          <t>Л7</t>
        </is>
      </c>
      <c r="L126" s="46" t="n"/>
      <c r="M126" s="47" t="inlineStr">
        <is>
          <t>19″ панель с DIN-рейкой 19", 3U, PS-3U, ТМ «ЦМО»</t>
        </is>
      </c>
      <c r="N126" s="46" t="inlineStr">
        <is>
          <t>шт.</t>
        </is>
      </c>
      <c r="O126" s="94">
        <f>P126+Q126+S126+V126</f>
        <v/>
      </c>
      <c r="P126" s="46" t="n"/>
      <c r="Q126" s="46" t="n"/>
      <c r="R126" s="46" t="n"/>
      <c r="S126" s="46" t="n"/>
      <c r="T126" s="46" t="n"/>
      <c r="U126" s="46" t="n">
        <v>1</v>
      </c>
      <c r="V126" s="46" t="n">
        <v>1</v>
      </c>
      <c r="W126" s="46" t="n"/>
      <c r="X126" s="46" t="n"/>
      <c r="Y126" s="46" t="n"/>
      <c r="Z126" s="46" t="n"/>
      <c r="AA126" s="48" t="n"/>
      <c r="AB126" s="179" t="n"/>
      <c r="AC126" s="189" t="n"/>
      <c r="AD126" s="189">
        <f>SUM(AB126:AC126)</f>
        <v/>
      </c>
      <c r="AE126" s="189">
        <f>AB126*$O126</f>
        <v/>
      </c>
      <c r="AF126" s="189">
        <f>AC126*$O126</f>
        <v/>
      </c>
      <c r="AG126" s="189">
        <f>SUM(AE126:AF126)</f>
        <v/>
      </c>
      <c r="AH126" s="182" t="n"/>
    </row>
    <row r="127" outlineLevel="1">
      <c r="A127" s="18" t="inlineStr">
        <is>
          <t>О</t>
        </is>
      </c>
      <c r="B127" s="11">
        <f>IF($K127=B$8,1+IF(OFFSET(B127,-1,0)="",0,OFFSET(B127,-1,0)),IF(B$8&lt;$K127,IF(OFFSET(B127,-1,0)="","ERR",OFFSET(B127,-1,0)),""))</f>
        <v/>
      </c>
      <c r="C127" s="11">
        <f>IF($K127=C$8,1+IF(OFFSET(C127,-1,0)="",0,OFFSET(C127,-1,0)),IF(C$8&lt;$K127,IF(OFFSET(C127,-1,0)="","ERR",OFFSET(C127,-1,0)),""))</f>
        <v/>
      </c>
      <c r="D127" s="11">
        <f>IF($K127=D$8,1+IF(OFFSET(D127,-1,0)="",0,OFFSET(D127,-1,0)),IF(D$8&lt;$K127,IF(OFFSET(D127,-1,0)="","ERR",OFFSET(D127,-1,0)),""))</f>
        <v/>
      </c>
      <c r="E127" s="11">
        <f>IF($K127=E$8,1+IF(OFFSET(E127,-1,0)="",0,OFFSET(E127,-1,0)),IF(E$8&lt;$K127,IF(OFFSET(E127,-1,0)="","ERR",OFFSET(E127,-1,0)),""))</f>
        <v/>
      </c>
      <c r="F127" s="11">
        <f>IF($K127=F$8,1+IF(OFFSET(F127,-1,0)="",0,OFFSET(F127,-1,0)),IF(F$8&lt;$K127,IF(OFFSET(F127,-1,0)="","ERR",OFFSET(F127,-1,0)),""))</f>
        <v/>
      </c>
      <c r="G127" s="11">
        <f>IF($K127=G$8,1+IF(OFFSET(G127,-1,0)="",0,OFFSET(G127,-1,0)),IF(G$8&lt;$K127,IF(OFFSET(G127,-1,0)="","ERR",OFFSET(G127,-1,0)),""))</f>
        <v/>
      </c>
      <c r="H127" s="11">
        <f>IF($K127=H$8,1+IF(OFFSET(H127,-1,0)="",0,OFFSET(H127,-1,0)),IF(H$8&lt;$K127,IF(OFFSET(H127,-1,0)="","ERR",OFFSET(H127,-1,0)),""))</f>
        <v/>
      </c>
      <c r="I127" s="11">
        <f>IF($K127=I$8,1+IF(OFFSET(I127,-1,0)="",0,OFFSET(I127,-1,0)),IF(I$8&lt;$K127,IF(OFFSET(I127,-1,0)="","ERR",OFFSET(I127,-1,0)),""))</f>
        <v/>
      </c>
      <c r="J127" s="46">
        <f>_xlfn.TEXTJOIN(".",1,B127:I127)</f>
        <v/>
      </c>
      <c r="K127" s="46" t="inlineStr">
        <is>
          <t>Л7</t>
        </is>
      </c>
      <c r="L127" s="46" t="n"/>
      <c r="M127" s="47" t="inlineStr">
        <is>
          <t>Источник бесперебойного питания «Штиль» STR1103TL, STR1103TL, Штиль</t>
        </is>
      </c>
      <c r="N127" s="46" t="inlineStr">
        <is>
          <t>шт.</t>
        </is>
      </c>
      <c r="O127" s="94">
        <f>P127+Q127+S127+V127</f>
        <v/>
      </c>
      <c r="P127" s="46" t="n"/>
      <c r="Q127" s="46" t="n"/>
      <c r="R127" s="46" t="n"/>
      <c r="S127" s="46" t="n"/>
      <c r="T127" s="46" t="n"/>
      <c r="U127" s="46" t="n">
        <v>1</v>
      </c>
      <c r="V127" s="46" t="n">
        <v>1</v>
      </c>
      <c r="W127" s="46" t="n"/>
      <c r="X127" s="46" t="n"/>
      <c r="Y127" s="46" t="n"/>
      <c r="Z127" s="46" t="n"/>
      <c r="AA127" s="48" t="n"/>
      <c r="AB127" s="179" t="n"/>
      <c r="AC127" s="189" t="n"/>
      <c r="AD127" s="189">
        <f>SUM(AB127:AC127)</f>
        <v/>
      </c>
      <c r="AE127" s="189">
        <f>AB127*$O127</f>
        <v/>
      </c>
      <c r="AF127" s="189">
        <f>AC127*$O127</f>
        <v/>
      </c>
      <c r="AG127" s="189">
        <f>SUM(AE127:AF127)</f>
        <v/>
      </c>
      <c r="AH127" s="182" t="n"/>
    </row>
    <row r="128" outlineLevel="1">
      <c r="A128" s="18" t="inlineStr">
        <is>
          <t>О</t>
        </is>
      </c>
      <c r="B128" s="11">
        <f>IF($K128=B$8,1+IF(OFFSET(B128,-1,0)="",0,OFFSET(B128,-1,0)),IF(B$8&lt;$K128,IF(OFFSET(B128,-1,0)="","ERR",OFFSET(B128,-1,0)),""))</f>
        <v/>
      </c>
      <c r="C128" s="11">
        <f>IF($K128=C$8,1+IF(OFFSET(C128,-1,0)="",0,OFFSET(C128,-1,0)),IF(C$8&lt;$K128,IF(OFFSET(C128,-1,0)="","ERR",OFFSET(C128,-1,0)),""))</f>
        <v/>
      </c>
      <c r="D128" s="11">
        <f>IF($K128=D$8,1+IF(OFFSET(D128,-1,0)="",0,OFFSET(D128,-1,0)),IF(D$8&lt;$K128,IF(OFFSET(D128,-1,0)="","ERR",OFFSET(D128,-1,0)),""))</f>
        <v/>
      </c>
      <c r="E128" s="11">
        <f>IF($K128=E$8,1+IF(OFFSET(E128,-1,0)="",0,OFFSET(E128,-1,0)),IF(E$8&lt;$K128,IF(OFFSET(E128,-1,0)="","ERR",OFFSET(E128,-1,0)),""))</f>
        <v/>
      </c>
      <c r="F128" s="11">
        <f>IF($K128=F$8,1+IF(OFFSET(F128,-1,0)="",0,OFFSET(F128,-1,0)),IF(F$8&lt;$K128,IF(OFFSET(F128,-1,0)="","ERR",OFFSET(F128,-1,0)),""))</f>
        <v/>
      </c>
      <c r="G128" s="11">
        <f>IF($K128=G$8,1+IF(OFFSET(G128,-1,0)="",0,OFFSET(G128,-1,0)),IF(G$8&lt;$K128,IF(OFFSET(G128,-1,0)="","ERR",OFFSET(G128,-1,0)),""))</f>
        <v/>
      </c>
      <c r="H128" s="11">
        <f>IF($K128=H$8,1+IF(OFFSET(H128,-1,0)="",0,OFFSET(H128,-1,0)),IF(H$8&lt;$K128,IF(OFFSET(H128,-1,0)="","ERR",OFFSET(H128,-1,0)),""))</f>
        <v/>
      </c>
      <c r="I128" s="11">
        <f>IF($K128=I$8,1+IF(OFFSET(I128,-1,0)="",0,OFFSET(I128,-1,0)),IF(I$8&lt;$K128,IF(OFFSET(I128,-1,0)="","ERR",OFFSET(I128,-1,0)),""))</f>
        <v/>
      </c>
      <c r="J128" s="46">
        <f>_xlfn.TEXTJOIN(".",1,B128:I128)</f>
        <v/>
      </c>
      <c r="K128" s="46" t="inlineStr">
        <is>
          <t>Л7</t>
        </is>
      </c>
      <c r="L128" s="46" t="n"/>
      <c r="M128" s="47" t="inlineStr">
        <is>
          <t>Батарейный модуль для ИБП «Штиль», BMRT-72-18, Штиль</t>
        </is>
      </c>
      <c r="N128" s="46" t="inlineStr">
        <is>
          <t>шт.</t>
        </is>
      </c>
      <c r="O128" s="94">
        <f>P128+Q128+S128+V128</f>
        <v/>
      </c>
      <c r="P128" s="46" t="n"/>
      <c r="Q128" s="46" t="n"/>
      <c r="R128" s="46" t="n"/>
      <c r="S128" s="46" t="n"/>
      <c r="T128" s="46" t="n"/>
      <c r="U128" s="46" t="n">
        <v>2</v>
      </c>
      <c r="V128" s="46" t="n">
        <v>2</v>
      </c>
      <c r="W128" s="46" t="n"/>
      <c r="X128" s="46" t="n"/>
      <c r="Y128" s="46" t="n"/>
      <c r="Z128" s="46" t="n"/>
      <c r="AA128" s="48" t="n"/>
      <c r="AB128" s="179" t="n"/>
      <c r="AC128" s="189" t="n"/>
      <c r="AD128" s="189">
        <f>SUM(AB128:AC128)</f>
        <v/>
      </c>
      <c r="AE128" s="189">
        <f>AB128*$O128</f>
        <v/>
      </c>
      <c r="AF128" s="189">
        <f>AC128*$O128</f>
        <v/>
      </c>
      <c r="AG128" s="189">
        <f>SUM(AE128:AF128)</f>
        <v/>
      </c>
      <c r="AH128" s="182" t="n"/>
    </row>
    <row r="129" outlineLevel="1">
      <c r="A129" s="18" t="inlineStr">
        <is>
          <t>О</t>
        </is>
      </c>
      <c r="B129" s="11">
        <f>IF($K129=B$8,1+IF(OFFSET(B129,-1,0)="",0,OFFSET(B129,-1,0)),IF(B$8&lt;$K129,IF(OFFSET(B129,-1,0)="","ERR",OFFSET(B129,-1,0)),""))</f>
        <v/>
      </c>
      <c r="C129" s="11">
        <f>IF($K129=C$8,1+IF(OFFSET(C129,-1,0)="",0,OFFSET(C129,-1,0)),IF(C$8&lt;$K129,IF(OFFSET(C129,-1,0)="","ERR",OFFSET(C129,-1,0)),""))</f>
        <v/>
      </c>
      <c r="D129" s="11">
        <f>IF($K129=D$8,1+IF(OFFSET(D129,-1,0)="",0,OFFSET(D129,-1,0)),IF(D$8&lt;$K129,IF(OFFSET(D129,-1,0)="","ERR",OFFSET(D129,-1,0)),""))</f>
        <v/>
      </c>
      <c r="E129" s="11">
        <f>IF($K129=E$8,1+IF(OFFSET(E129,-1,0)="",0,OFFSET(E129,-1,0)),IF(E$8&lt;$K129,IF(OFFSET(E129,-1,0)="","ERR",OFFSET(E129,-1,0)),""))</f>
        <v/>
      </c>
      <c r="F129" s="11">
        <f>IF($K129=F$8,1+IF(OFFSET(F129,-1,0)="",0,OFFSET(F129,-1,0)),IF(F$8&lt;$K129,IF(OFFSET(F129,-1,0)="","ERR",OFFSET(F129,-1,0)),""))</f>
        <v/>
      </c>
      <c r="G129" s="11">
        <f>IF($K129=G$8,1+IF(OFFSET(G129,-1,0)="",0,OFFSET(G129,-1,0)),IF(G$8&lt;$K129,IF(OFFSET(G129,-1,0)="","ERR",OFFSET(G129,-1,0)),""))</f>
        <v/>
      </c>
      <c r="H129" s="11">
        <f>IF($K129=H$8,1+IF(OFFSET(H129,-1,0)="",0,OFFSET(H129,-1,0)),IF(H$8&lt;$K129,IF(OFFSET(H129,-1,0)="","ERR",OFFSET(H129,-1,0)),""))</f>
        <v/>
      </c>
      <c r="I129" s="11">
        <f>IF($K129=I$8,1+IF(OFFSET(I129,-1,0)="",0,OFFSET(I129,-1,0)),IF(I$8&lt;$K129,IF(OFFSET(I129,-1,0)="","ERR",OFFSET(I129,-1,0)),""))</f>
        <v/>
      </c>
      <c r="J129" s="46">
        <f>_xlfn.TEXTJOIN(".",1,B129:I129)</f>
        <v/>
      </c>
      <c r="K129" s="46" t="inlineStr">
        <is>
          <t>Л7</t>
        </is>
      </c>
      <c r="L129" s="46" t="n"/>
      <c r="M129" s="47" t="inlineStr">
        <is>
          <t>Карта мониторинга IC-SNMP/WEB, IC-SNMP/WEB, Штиль</t>
        </is>
      </c>
      <c r="N129" s="46" t="inlineStr">
        <is>
          <t>шт.</t>
        </is>
      </c>
      <c r="O129" s="94">
        <f>P129+Q129+S129+V129</f>
        <v/>
      </c>
      <c r="P129" s="46" t="n"/>
      <c r="Q129" s="46" t="n"/>
      <c r="R129" s="46" t="n"/>
      <c r="S129" s="46" t="n"/>
      <c r="T129" s="46" t="n"/>
      <c r="U129" s="46" t="n">
        <v>1</v>
      </c>
      <c r="V129" s="46" t="n">
        <v>1</v>
      </c>
      <c r="W129" s="46" t="n"/>
      <c r="X129" s="46" t="n"/>
      <c r="Y129" s="46" t="n"/>
      <c r="Z129" s="46" t="n"/>
      <c r="AA129" s="48" t="n"/>
      <c r="AB129" s="179" t="n"/>
      <c r="AC129" s="189" t="n"/>
      <c r="AD129" s="189">
        <f>SUM(AB129:AC129)</f>
        <v/>
      </c>
      <c r="AE129" s="189">
        <f>AB129*$O129</f>
        <v/>
      </c>
      <c r="AF129" s="189">
        <f>AC129*$O129</f>
        <v/>
      </c>
      <c r="AG129" s="189">
        <f>SUM(AE129:AF129)</f>
        <v/>
      </c>
      <c r="AH129" s="182" t="n"/>
    </row>
    <row r="130" outlineLevel="1">
      <c r="A130" s="18" t="inlineStr">
        <is>
          <t>О</t>
        </is>
      </c>
      <c r="B130" s="11">
        <f>IF($K130=B$8,1+IF(OFFSET(B130,-1,0)="",0,OFFSET(B130,-1,0)),IF(B$8&lt;$K130,IF(OFFSET(B130,-1,0)="","ERR",OFFSET(B130,-1,0)),""))</f>
        <v/>
      </c>
      <c r="C130" s="11">
        <f>IF($K130=C$8,1+IF(OFFSET(C130,-1,0)="",0,OFFSET(C130,-1,0)),IF(C$8&lt;$K130,IF(OFFSET(C130,-1,0)="","ERR",OFFSET(C130,-1,0)),""))</f>
        <v/>
      </c>
      <c r="D130" s="11">
        <f>IF($K130=D$8,1+IF(OFFSET(D130,-1,0)="",0,OFFSET(D130,-1,0)),IF(D$8&lt;$K130,IF(OFFSET(D130,-1,0)="","ERR",OFFSET(D130,-1,0)),""))</f>
        <v/>
      </c>
      <c r="E130" s="11">
        <f>IF($K130=E$8,1+IF(OFFSET(E130,-1,0)="",0,OFFSET(E130,-1,0)),IF(E$8&lt;$K130,IF(OFFSET(E130,-1,0)="","ERR",OFFSET(E130,-1,0)),""))</f>
        <v/>
      </c>
      <c r="F130" s="11">
        <f>IF($K130=F$8,1+IF(OFFSET(F130,-1,0)="",0,OFFSET(F130,-1,0)),IF(F$8&lt;$K130,IF(OFFSET(F130,-1,0)="","ERR",OFFSET(F130,-1,0)),""))</f>
        <v/>
      </c>
      <c r="G130" s="11">
        <f>IF($K130=G$8,1+IF(OFFSET(G130,-1,0)="",0,OFFSET(G130,-1,0)),IF(G$8&lt;$K130,IF(OFFSET(G130,-1,0)="","ERR",OFFSET(G130,-1,0)),""))</f>
        <v/>
      </c>
      <c r="H130" s="11">
        <f>IF($K130=H$8,1+IF(OFFSET(H130,-1,0)="",0,OFFSET(H130,-1,0)),IF(H$8&lt;$K130,IF(OFFSET(H130,-1,0)="","ERR",OFFSET(H130,-1,0)),""))</f>
        <v/>
      </c>
      <c r="I130" s="11">
        <f>IF($K130=I$8,1+IF(OFFSET(I130,-1,0)="",0,OFFSET(I130,-1,0)),IF(I$8&lt;$K130,IF(OFFSET(I130,-1,0)="","ERR",OFFSET(I130,-1,0)),""))</f>
        <v/>
      </c>
      <c r="J130" s="46">
        <f>_xlfn.TEXTJOIN(".",1,B130:I130)</f>
        <v/>
      </c>
      <c r="K130" s="46" t="inlineStr">
        <is>
          <t>Л7</t>
        </is>
      </c>
      <c r="L130" s="46" t="n"/>
      <c r="M130" s="47" t="inlineStr">
        <is>
          <t>Панель заземления горизонтальная/вертикальная, ПЗ-19-500.200А, ТМ «ЦМО»</t>
        </is>
      </c>
      <c r="N130" s="46" t="inlineStr">
        <is>
          <t>шт.</t>
        </is>
      </c>
      <c r="O130" s="94">
        <f>P130+Q130+S130+V130</f>
        <v/>
      </c>
      <c r="P130" s="46" t="n"/>
      <c r="Q130" s="46" t="n"/>
      <c r="R130" s="46" t="n"/>
      <c r="S130" s="46" t="n"/>
      <c r="T130" s="46" t="n"/>
      <c r="U130" s="46" t="n">
        <v>1</v>
      </c>
      <c r="V130" s="46" t="n">
        <v>1</v>
      </c>
      <c r="W130" s="46" t="n"/>
      <c r="X130" s="46" t="n"/>
      <c r="Y130" s="46" t="n"/>
      <c r="Z130" s="46" t="n"/>
      <c r="AA130" s="48" t="n"/>
      <c r="AB130" s="179" t="n"/>
      <c r="AC130" s="189" t="n"/>
      <c r="AD130" s="189">
        <f>SUM(AB130:AC130)</f>
        <v/>
      </c>
      <c r="AE130" s="189">
        <f>AB130*$O130</f>
        <v/>
      </c>
      <c r="AF130" s="189">
        <f>AC130*$O130</f>
        <v/>
      </c>
      <c r="AG130" s="189">
        <f>SUM(AE130:AF130)</f>
        <v/>
      </c>
      <c r="AH130" s="182" t="n"/>
    </row>
    <row r="131" outlineLevel="1" ht="28.5" customHeight="1">
      <c r="A131" s="18" t="inlineStr">
        <is>
          <t>О</t>
        </is>
      </c>
      <c r="B131" s="11">
        <f>IF($K131=B$8,1+IF(OFFSET(B131,-1,0)="",0,OFFSET(B131,-1,0)),IF(B$8&lt;$K131,IF(OFFSET(B131,-1,0)="","ERR",OFFSET(B131,-1,0)),""))</f>
        <v/>
      </c>
      <c r="C131" s="11">
        <f>IF($K131=C$8,1+IF(OFFSET(C131,-1,0)="",0,OFFSET(C131,-1,0)),IF(C$8&lt;$K131,IF(OFFSET(C131,-1,0)="","ERR",OFFSET(C131,-1,0)),""))</f>
        <v/>
      </c>
      <c r="D131" s="11">
        <f>IF($K131=D$8,1+IF(OFFSET(D131,-1,0)="",0,OFFSET(D131,-1,0)),IF(D$8&lt;$K131,IF(OFFSET(D131,-1,0)="","ERR",OFFSET(D131,-1,0)),""))</f>
        <v/>
      </c>
      <c r="E131" s="11">
        <f>IF($K131=E$8,1+IF(OFFSET(E131,-1,0)="",0,OFFSET(E131,-1,0)),IF(E$8&lt;$K131,IF(OFFSET(E131,-1,0)="","ERR",OFFSET(E131,-1,0)),""))</f>
        <v/>
      </c>
      <c r="F131" s="11">
        <f>IF($K131=F$8,1+IF(OFFSET(F131,-1,0)="",0,OFFSET(F131,-1,0)),IF(F$8&lt;$K131,IF(OFFSET(F131,-1,0)="","ERR",OFFSET(F131,-1,0)),""))</f>
        <v/>
      </c>
      <c r="G131" s="11">
        <f>IF($K131=G$8,1+IF(OFFSET(G131,-1,0)="",0,OFFSET(G131,-1,0)),IF(G$8&lt;$K131,IF(OFFSET(G131,-1,0)="","ERR",OFFSET(G131,-1,0)),""))</f>
        <v/>
      </c>
      <c r="H131" s="11">
        <f>IF($K131=H$8,1+IF(OFFSET(H131,-1,0)="",0,OFFSET(H131,-1,0)),IF(H$8&lt;$K131,IF(OFFSET(H131,-1,0)="","ERR",OFFSET(H131,-1,0)),""))</f>
        <v/>
      </c>
      <c r="I131" s="11">
        <f>IF($K131=I$8,1+IF(OFFSET(I131,-1,0)="",0,OFFSET(I131,-1,0)),IF(I$8&lt;$K131,IF(OFFSET(I131,-1,0)="","ERR",OFFSET(I131,-1,0)),""))</f>
        <v/>
      </c>
      <c r="J131" s="46">
        <f>_xlfn.TEXTJOIN(".",1,B131:I131)</f>
        <v/>
      </c>
      <c r="K131" s="46" t="inlineStr">
        <is>
          <t>Л7</t>
        </is>
      </c>
      <c r="L131" s="46" t="n"/>
      <c r="M131" s="47" t="inlineStr">
        <is>
          <t>Блок розеток Rem-10 с выкл., 8 Sсhuko, 10 A, алюм., 19", шнур 1.8 м.IEC 60320 C14, R-10-8S-V-440-1.8, ТМ «ЦМО»</t>
        </is>
      </c>
      <c r="N131" s="46" t="inlineStr">
        <is>
          <t>шт.</t>
        </is>
      </c>
      <c r="O131" s="94">
        <f>P131+Q131+S131+V131</f>
        <v/>
      </c>
      <c r="P131" s="46" t="n"/>
      <c r="Q131" s="46" t="n"/>
      <c r="R131" s="46" t="n"/>
      <c r="S131" s="46" t="n"/>
      <c r="T131" s="46" t="n"/>
      <c r="U131" s="46" t="n">
        <v>1</v>
      </c>
      <c r="V131" s="46" t="n">
        <v>1</v>
      </c>
      <c r="W131" s="46" t="n"/>
      <c r="X131" s="46" t="n"/>
      <c r="Y131" s="46" t="n"/>
      <c r="Z131" s="46" t="n"/>
      <c r="AA131" s="48" t="n"/>
      <c r="AB131" s="179" t="n"/>
      <c r="AC131" s="189" t="n"/>
      <c r="AD131" s="189">
        <f>SUM(AB131:AC131)</f>
        <v/>
      </c>
      <c r="AE131" s="189">
        <f>AB131*$O131</f>
        <v/>
      </c>
      <c r="AF131" s="189">
        <f>AC131*$O131</f>
        <v/>
      </c>
      <c r="AG131" s="189">
        <f>SUM(AE131:AF131)</f>
        <v/>
      </c>
      <c r="AH131" s="182" t="n"/>
    </row>
    <row r="132" outlineLevel="1">
      <c r="A132" s="18" t="inlineStr">
        <is>
          <t>О</t>
        </is>
      </c>
      <c r="B132" s="11">
        <f>IF($K132=B$8,1+IF(OFFSET(B132,-1,0)="",0,OFFSET(B132,-1,0)),IF(B$8&lt;$K132,IF(OFFSET(B132,-1,0)="","ERR",OFFSET(B132,-1,0)),""))</f>
        <v/>
      </c>
      <c r="C132" s="11">
        <f>IF($K132=C$8,1+IF(OFFSET(C132,-1,0)="",0,OFFSET(C132,-1,0)),IF(C$8&lt;$K132,IF(OFFSET(C132,-1,0)="","ERR",OFFSET(C132,-1,0)),""))</f>
        <v/>
      </c>
      <c r="D132" s="11">
        <f>IF($K132=D$8,1+IF(OFFSET(D132,-1,0)="",0,OFFSET(D132,-1,0)),IF(D$8&lt;$K132,IF(OFFSET(D132,-1,0)="","ERR",OFFSET(D132,-1,0)),""))</f>
        <v/>
      </c>
      <c r="E132" s="11">
        <f>IF($K132=E$8,1+IF(OFFSET(E132,-1,0)="",0,OFFSET(E132,-1,0)),IF(E$8&lt;$K132,IF(OFFSET(E132,-1,0)="","ERR",OFFSET(E132,-1,0)),""))</f>
        <v/>
      </c>
      <c r="F132" s="11">
        <f>IF($K132=F$8,1+IF(OFFSET(F132,-1,0)="",0,OFFSET(F132,-1,0)),IF(F$8&lt;$K132,IF(OFFSET(F132,-1,0)="","ERR",OFFSET(F132,-1,0)),""))</f>
        <v/>
      </c>
      <c r="G132" s="11">
        <f>IF($K132=G$8,1+IF(OFFSET(G132,-1,0)="",0,OFFSET(G132,-1,0)),IF(G$8&lt;$K132,IF(OFFSET(G132,-1,0)="","ERR",OFFSET(G132,-1,0)),""))</f>
        <v/>
      </c>
      <c r="H132" s="11">
        <f>IF($K132=H$8,1+IF(OFFSET(H132,-1,0)="",0,OFFSET(H132,-1,0)),IF(H$8&lt;$K132,IF(OFFSET(H132,-1,0)="","ERR",OFFSET(H132,-1,0)),""))</f>
        <v/>
      </c>
      <c r="I132" s="11">
        <f>IF($K132=I$8,1+IF(OFFSET(I132,-1,0)="",0,OFFSET(I132,-1,0)),IF(I$8&lt;$K132,IF(OFFSET(I132,-1,0)="","ERR",OFFSET(I132,-1,0)),""))</f>
        <v/>
      </c>
      <c r="J132" s="46">
        <f>_xlfn.TEXTJOIN(".",1,B132:I132)</f>
        <v/>
      </c>
      <c r="K132" s="46" t="inlineStr">
        <is>
          <t>Л7</t>
        </is>
      </c>
      <c r="L132" s="46" t="n"/>
      <c r="M132" s="47" t="inlineStr">
        <is>
          <t>Контроллер Nuclias Connect для управления точками доступа и коммутаторами, DNH-1000, D-Link</t>
        </is>
      </c>
      <c r="N132" s="46" t="inlineStr">
        <is>
          <t>шт.</t>
        </is>
      </c>
      <c r="O132" s="94">
        <f>P132+Q132+S132+V132</f>
        <v/>
      </c>
      <c r="P132" s="46" t="n"/>
      <c r="Q132" s="46" t="n"/>
      <c r="R132" s="46" t="n"/>
      <c r="S132" s="46" t="n"/>
      <c r="T132" s="46" t="n"/>
      <c r="U132" s="46" t="n">
        <v>1</v>
      </c>
      <c r="V132" s="46" t="n">
        <v>1</v>
      </c>
      <c r="W132" s="46" t="n"/>
      <c r="X132" s="46" t="n"/>
      <c r="Y132" s="46" t="n"/>
      <c r="Z132" s="46" t="n"/>
      <c r="AA132" s="48" t="n"/>
      <c r="AB132" s="179" t="n"/>
      <c r="AC132" s="189" t="n"/>
      <c r="AD132" s="189">
        <f>SUM(AB132:AC132)</f>
        <v/>
      </c>
      <c r="AE132" s="189">
        <f>AB132*$O132</f>
        <v/>
      </c>
      <c r="AF132" s="189">
        <f>AC132*$O132</f>
        <v/>
      </c>
      <c r="AG132" s="189">
        <f>SUM(AE132:AF132)</f>
        <v/>
      </c>
      <c r="AH132" s="182" t="n"/>
    </row>
    <row r="133" outlineLevel="1" ht="25.5" customHeight="1">
      <c r="A133" s="18" t="inlineStr">
        <is>
          <t>О</t>
        </is>
      </c>
      <c r="B133" s="11">
        <f>IF($K133=B$8,1+IF(OFFSET(B133,-1,0)="",0,OFFSET(B133,-1,0)),IF(B$8&lt;$K133,IF(OFFSET(B133,-1,0)="","ERR",OFFSET(B133,-1,0)),""))</f>
        <v/>
      </c>
      <c r="C133" s="11">
        <f>IF($K133=C$8,1+IF(OFFSET(C133,-1,0)="",0,OFFSET(C133,-1,0)),IF(C$8&lt;$K133,IF(OFFSET(C133,-1,0)="","ERR",OFFSET(C133,-1,0)),""))</f>
        <v/>
      </c>
      <c r="D133" s="11">
        <f>IF($K133=D$8,1+IF(OFFSET(D133,-1,0)="",0,OFFSET(D133,-1,0)),IF(D$8&lt;$K133,IF(OFFSET(D133,-1,0)="","ERR",OFFSET(D133,-1,0)),""))</f>
        <v/>
      </c>
      <c r="E133" s="11">
        <f>IF($K133=E$8,1+IF(OFFSET(E133,-1,0)="",0,OFFSET(E133,-1,0)),IF(E$8&lt;$K133,IF(OFFSET(E133,-1,0)="","ERR",OFFSET(E133,-1,0)),""))</f>
        <v/>
      </c>
      <c r="F133" s="11">
        <f>IF($K133=F$8,1+IF(OFFSET(F133,-1,0)="",0,OFFSET(F133,-1,0)),IF(F$8&lt;$K133,IF(OFFSET(F133,-1,0)="","ERR",OFFSET(F133,-1,0)),""))</f>
        <v/>
      </c>
      <c r="G133" s="11">
        <f>IF($K133=G$8,1+IF(OFFSET(G133,-1,0)="",0,OFFSET(G133,-1,0)),IF(G$8&lt;$K133,IF(OFFSET(G133,-1,0)="","ERR",OFFSET(G133,-1,0)),""))</f>
        <v/>
      </c>
      <c r="H133" s="11">
        <f>IF($K133=H$8,1+IF(OFFSET(H133,-1,0)="",0,OFFSET(H133,-1,0)),IF(H$8&lt;$K133,IF(OFFSET(H133,-1,0)="","ERR",OFFSET(H133,-1,0)),""))</f>
        <v/>
      </c>
      <c r="I133" s="11">
        <f>IF($K133=I$8,1+IF(OFFSET(I133,-1,0)="",0,OFFSET(I133,-1,0)),IF(I$8&lt;$K133,IF(OFFSET(I133,-1,0)="","ERR",OFFSET(I133,-1,0)),""))</f>
        <v/>
      </c>
      <c r="J133" s="46">
        <f>_xlfn.TEXTJOIN(".",1,B133:I133)</f>
        <v/>
      </c>
      <c r="K133" s="46" t="inlineStr">
        <is>
          <t>Л7</t>
        </is>
      </c>
      <c r="L133" s="46" t="n"/>
      <c r="M133" s="47" t="inlineStr">
        <is>
          <t>Оптический кросс на 32 порта, на 16 розетки, корпус 1U, полностью укомплектованный, ШКОС-Л-1U/2-32-LC~32 -LC/SM~32-LC/UPC, АО "Связьстройдеталь"</t>
        </is>
      </c>
      <c r="N133" s="46" t="inlineStr">
        <is>
          <t>шт.</t>
        </is>
      </c>
      <c r="O133" s="94">
        <f>P133+Q133+S133+V133</f>
        <v/>
      </c>
      <c r="P133" s="46" t="n"/>
      <c r="Q133" s="46" t="n"/>
      <c r="R133" s="46" t="n"/>
      <c r="S133" s="46" t="n"/>
      <c r="T133" s="46" t="n"/>
      <c r="U133" s="46" t="n">
        <v>1</v>
      </c>
      <c r="V133" s="46" t="n">
        <v>1</v>
      </c>
      <c r="W133" s="46" t="n"/>
      <c r="X133" s="46" t="n"/>
      <c r="Y133" s="46" t="n"/>
      <c r="Z133" s="46" t="n"/>
      <c r="AA133" s="48" t="n"/>
      <c r="AB133" s="179" t="n"/>
      <c r="AC133" s="189" t="n"/>
      <c r="AD133" s="189">
        <f>SUM(AB133:AC133)</f>
        <v/>
      </c>
      <c r="AE133" s="189">
        <f>AB133*$O133</f>
        <v/>
      </c>
      <c r="AF133" s="189">
        <f>AC133*$O133</f>
        <v/>
      </c>
      <c r="AG133" s="189">
        <f>SUM(AE133:AF133)</f>
        <v/>
      </c>
      <c r="AH133" s="182" t="n"/>
    </row>
    <row r="134" outlineLevel="1">
      <c r="A134" s="18" t="inlineStr">
        <is>
          <t>О</t>
        </is>
      </c>
      <c r="B134" s="11">
        <f>IF($K134=B$8,1+IF(OFFSET(B134,-1,0)="",0,OFFSET(B134,-1,0)),IF(B$8&lt;$K134,IF(OFFSET(B134,-1,0)="","ERR",OFFSET(B134,-1,0)),""))</f>
        <v/>
      </c>
      <c r="C134" s="11">
        <f>IF($K134=C$8,1+IF(OFFSET(C134,-1,0)="",0,OFFSET(C134,-1,0)),IF(C$8&lt;$K134,IF(OFFSET(C134,-1,0)="","ERR",OFFSET(C134,-1,0)),""))</f>
        <v/>
      </c>
      <c r="D134" s="11">
        <f>IF($K134=D$8,1+IF(OFFSET(D134,-1,0)="",0,OFFSET(D134,-1,0)),IF(D$8&lt;$K134,IF(OFFSET(D134,-1,0)="","ERR",OFFSET(D134,-1,0)),""))</f>
        <v/>
      </c>
      <c r="E134" s="11">
        <f>IF($K134=E$8,1+IF(OFFSET(E134,-1,0)="",0,OFFSET(E134,-1,0)),IF(E$8&lt;$K134,IF(OFFSET(E134,-1,0)="","ERR",OFFSET(E134,-1,0)),""))</f>
        <v/>
      </c>
      <c r="F134" s="11">
        <f>IF($K134=F$8,1+IF(OFFSET(F134,-1,0)="",0,OFFSET(F134,-1,0)),IF(F$8&lt;$K134,IF(OFFSET(F134,-1,0)="","ERR",OFFSET(F134,-1,0)),""))</f>
        <v/>
      </c>
      <c r="G134" s="11">
        <f>IF($K134=G$8,1+IF(OFFSET(G134,-1,0)="",0,OFFSET(G134,-1,0)),IF(G$8&lt;$K134,IF(OFFSET(G134,-1,0)="","ERR",OFFSET(G134,-1,0)),""))</f>
        <v/>
      </c>
      <c r="H134" s="11">
        <f>IF($K134=H$8,1+IF(OFFSET(H134,-1,0)="",0,OFFSET(H134,-1,0)),IF(H$8&lt;$K134,IF(OFFSET(H134,-1,0)="","ERR",OFFSET(H134,-1,0)),""))</f>
        <v/>
      </c>
      <c r="I134" s="11">
        <f>IF($K134=I$8,1+IF(OFFSET(I134,-1,0)="",0,OFFSET(I134,-1,0)),IF(I$8&lt;$K134,IF(OFFSET(I134,-1,0)="","ERR",OFFSET(I134,-1,0)),""))</f>
        <v/>
      </c>
      <c r="J134" s="46">
        <f>_xlfn.TEXTJOIN(".",1,B134:I134)</f>
        <v/>
      </c>
      <c r="K134" s="46" t="inlineStr">
        <is>
          <t>Л7</t>
        </is>
      </c>
      <c r="L134" s="46" t="n"/>
      <c r="M134" s="47" t="inlineStr">
        <is>
          <t>Маршрутизатор CCR2004-1G-12S+2XS, CCR2004-1G-12S+2XS, MikroTik</t>
        </is>
      </c>
      <c r="N134" s="46" t="inlineStr">
        <is>
          <t>шт.</t>
        </is>
      </c>
      <c r="O134" s="94">
        <f>P134+Q134+S134+V134</f>
        <v/>
      </c>
      <c r="P134" s="46" t="n"/>
      <c r="Q134" s="46" t="n"/>
      <c r="R134" s="46" t="n"/>
      <c r="S134" s="46" t="n"/>
      <c r="T134" s="46" t="n"/>
      <c r="U134" s="46" t="n">
        <v>1</v>
      </c>
      <c r="V134" s="46" t="n">
        <v>1</v>
      </c>
      <c r="W134" s="46" t="n"/>
      <c r="X134" s="46" t="n"/>
      <c r="Y134" s="46" t="n"/>
      <c r="Z134" s="46" t="n"/>
      <c r="AA134" s="48" t="n"/>
      <c r="AB134" s="179" t="n"/>
      <c r="AC134" s="189" t="n"/>
      <c r="AD134" s="189">
        <f>SUM(AB134:AC134)</f>
        <v/>
      </c>
      <c r="AE134" s="189">
        <f>AB134*$O134</f>
        <v/>
      </c>
      <c r="AF134" s="189">
        <f>AC134*$O134</f>
        <v/>
      </c>
      <c r="AG134" s="189">
        <f>SUM(AE134:AF134)</f>
        <v/>
      </c>
      <c r="AH134" s="182" t="n"/>
    </row>
    <row r="135" outlineLevel="1">
      <c r="A135" s="18" t="inlineStr">
        <is>
          <t>О</t>
        </is>
      </c>
      <c r="B135" s="11">
        <f>IF($K135=B$8,1+IF(OFFSET(B135,-1,0)="",0,OFFSET(B135,-1,0)),IF(B$8&lt;$K135,IF(OFFSET(B135,-1,0)="","ERR",OFFSET(B135,-1,0)),""))</f>
        <v/>
      </c>
      <c r="C135" s="11">
        <f>IF($K135=C$8,1+IF(OFFSET(C135,-1,0)="",0,OFFSET(C135,-1,0)),IF(C$8&lt;$K135,IF(OFFSET(C135,-1,0)="","ERR",OFFSET(C135,-1,0)),""))</f>
        <v/>
      </c>
      <c r="D135" s="11">
        <f>IF($K135=D$8,1+IF(OFFSET(D135,-1,0)="",0,OFFSET(D135,-1,0)),IF(D$8&lt;$K135,IF(OFFSET(D135,-1,0)="","ERR",OFFSET(D135,-1,0)),""))</f>
        <v/>
      </c>
      <c r="E135" s="11">
        <f>IF($K135=E$8,1+IF(OFFSET(E135,-1,0)="",0,OFFSET(E135,-1,0)),IF(E$8&lt;$K135,IF(OFFSET(E135,-1,0)="","ERR",OFFSET(E135,-1,0)),""))</f>
        <v/>
      </c>
      <c r="F135" s="11">
        <f>IF($K135=F$8,1+IF(OFFSET(F135,-1,0)="",0,OFFSET(F135,-1,0)),IF(F$8&lt;$K135,IF(OFFSET(F135,-1,0)="","ERR",OFFSET(F135,-1,0)),""))</f>
        <v/>
      </c>
      <c r="G135" s="11">
        <f>IF($K135=G$8,1+IF(OFFSET(G135,-1,0)="",0,OFFSET(G135,-1,0)),IF(G$8&lt;$K135,IF(OFFSET(G135,-1,0)="","ERR",OFFSET(G135,-1,0)),""))</f>
        <v/>
      </c>
      <c r="H135" s="11">
        <f>IF($K135=H$8,1+IF(OFFSET(H135,-1,0)="",0,OFFSET(H135,-1,0)),IF(H$8&lt;$K135,IF(OFFSET(H135,-1,0)="","ERR",OFFSET(H135,-1,0)),""))</f>
        <v/>
      </c>
      <c r="I135" s="11">
        <f>IF($K135=I$8,1+IF(OFFSET(I135,-1,0)="",0,OFFSET(I135,-1,0)),IF(I$8&lt;$K135,IF(OFFSET(I135,-1,0)="","ERR",OFFSET(I135,-1,0)),""))</f>
        <v/>
      </c>
      <c r="J135" s="52">
        <f>_xlfn.TEXTJOIN(".",1,B135:I135)</f>
        <v/>
      </c>
      <c r="K135" s="52" t="inlineStr">
        <is>
          <t>Л7</t>
        </is>
      </c>
      <c r="L135" s="52" t="n"/>
      <c r="M135" s="53" t="inlineStr">
        <is>
          <t>Комплект щеточного ввода в шкаф, универсальный, КВ-Щ-55.210А-9005, ТМ «ЦМО»</t>
        </is>
      </c>
      <c r="N135" s="52" t="inlineStr">
        <is>
          <t>шт.</t>
        </is>
      </c>
      <c r="O135" s="73">
        <f>P135+Q135+S135+V135</f>
        <v/>
      </c>
      <c r="P135" s="52" t="n"/>
      <c r="Q135" s="52" t="n"/>
      <c r="R135" s="52" t="n"/>
      <c r="S135" s="52" t="n"/>
      <c r="T135" s="52" t="n"/>
      <c r="U135" s="52" t="n">
        <v>1</v>
      </c>
      <c r="V135" s="52" t="n">
        <v>1</v>
      </c>
      <c r="W135" s="52" t="n"/>
      <c r="X135" s="52" t="n"/>
      <c r="Y135" s="52" t="n"/>
      <c r="Z135" s="52" t="n"/>
      <c r="AA135" s="54" t="n"/>
      <c r="AB135" s="179" t="n"/>
      <c r="AC135" s="189" t="n"/>
      <c r="AD135" s="189">
        <f>SUM(AB135:AC135)</f>
        <v/>
      </c>
      <c r="AE135" s="189">
        <f>AB135*$O135</f>
        <v/>
      </c>
      <c r="AF135" s="189">
        <f>AC135*$O135</f>
        <v/>
      </c>
      <c r="AG135" s="189">
        <f>SUM(AE135:AF135)</f>
        <v/>
      </c>
      <c r="AH135" s="182" t="n"/>
    </row>
    <row r="136" outlineLevel="1">
      <c r="A136" s="18" t="inlineStr">
        <is>
          <t>О</t>
        </is>
      </c>
      <c r="B136" s="11">
        <f>IF($K136=B$8,1+IF(OFFSET(B136,-1,0)="",0,OFFSET(B136,-1,0)),IF(B$8&lt;$K136,IF(OFFSET(B136,-1,0)="","ERR",OFFSET(B136,-1,0)),""))</f>
        <v/>
      </c>
      <c r="C136" s="11">
        <f>IF($K136=C$8,1+IF(OFFSET(C136,-1,0)="",0,OFFSET(C136,-1,0)),IF(C$8&lt;$K136,IF(OFFSET(C136,-1,0)="","ERR",OFFSET(C136,-1,0)),""))</f>
        <v/>
      </c>
      <c r="D136" s="11">
        <f>IF($K136=D$8,1+IF(OFFSET(D136,-1,0)="",0,OFFSET(D136,-1,0)),IF(D$8&lt;$K136,IF(OFFSET(D136,-1,0)="","ERR",OFFSET(D136,-1,0)),""))</f>
        <v/>
      </c>
      <c r="E136" s="11">
        <f>IF($K136=E$8,1+IF(OFFSET(E136,-1,0)="",0,OFFSET(E136,-1,0)),IF(E$8&lt;$K136,IF(OFFSET(E136,-1,0)="","ERR",OFFSET(E136,-1,0)),""))</f>
        <v/>
      </c>
      <c r="F136" s="11">
        <f>IF($K136=F$8,1+IF(OFFSET(F136,-1,0)="",0,OFFSET(F136,-1,0)),IF(F$8&lt;$K136,IF(OFFSET(F136,-1,0)="","ERR",OFFSET(F136,-1,0)),""))</f>
        <v/>
      </c>
      <c r="G136" s="11">
        <f>IF($K136=G$8,1+IF(OFFSET(G136,-1,0)="",0,OFFSET(G136,-1,0)),IF(G$8&lt;$K136,IF(OFFSET(G136,-1,0)="","ERR",OFFSET(G136,-1,0)),""))</f>
        <v/>
      </c>
      <c r="H136" s="11">
        <f>IF($K136=H$8,1+IF(OFFSET(H136,-1,0)="",0,OFFSET(H136,-1,0)),IF(H$8&lt;$K136,IF(OFFSET(H136,-1,0)="","ERR",OFFSET(H136,-1,0)),""))</f>
        <v/>
      </c>
      <c r="I136" s="11">
        <f>IF($K136=I$8,1+IF(OFFSET(I136,-1,0)="",0,OFFSET(I136,-1,0)),IF(I$8&lt;$K136,IF(OFFSET(I136,-1,0)="","ERR",OFFSET(I136,-1,0)),""))</f>
        <v/>
      </c>
      <c r="J136" s="52">
        <f>_xlfn.TEXTJOIN(".",1,B136:I136)</f>
        <v/>
      </c>
      <c r="K136" s="52" t="inlineStr">
        <is>
          <t>Л7</t>
        </is>
      </c>
      <c r="L136" s="52" t="n"/>
      <c r="M136" s="53" t="inlineStr">
        <is>
          <t>Комплект для монтажа в стойку ИБП Штиль, 1060905, Штиль</t>
        </is>
      </c>
      <c r="N136" s="52" t="inlineStr">
        <is>
          <t>шт.</t>
        </is>
      </c>
      <c r="O136" s="73">
        <f>P136+Q136+S136+V136</f>
        <v/>
      </c>
      <c r="P136" s="52" t="n"/>
      <c r="Q136" s="52" t="n"/>
      <c r="R136" s="52" t="n"/>
      <c r="S136" s="52" t="n"/>
      <c r="T136" s="52" t="n"/>
      <c r="U136" s="52" t="n">
        <v>3</v>
      </c>
      <c r="V136" s="52" t="n">
        <v>3</v>
      </c>
      <c r="W136" s="52" t="n"/>
      <c r="X136" s="52" t="n"/>
      <c r="Y136" s="52" t="n"/>
      <c r="Z136" s="52" t="n"/>
      <c r="AA136" s="54" t="n"/>
      <c r="AB136" s="179" t="n"/>
      <c r="AC136" s="189" t="n"/>
      <c r="AD136" s="189">
        <f>SUM(AB136:AC136)</f>
        <v/>
      </c>
      <c r="AE136" s="189">
        <f>AB136*$O136</f>
        <v/>
      </c>
      <c r="AF136" s="189">
        <f>AC136*$O136</f>
        <v/>
      </c>
      <c r="AG136" s="189">
        <f>SUM(AE136:AF136)</f>
        <v/>
      </c>
      <c r="AH136" s="182" t="n"/>
    </row>
    <row r="137" outlineLevel="1">
      <c r="A137" s="18" t="inlineStr">
        <is>
          <t>О</t>
        </is>
      </c>
      <c r="B137" s="11">
        <f>IF($K137=B$8,1+IF(OFFSET(B137,-1,0)="",0,OFFSET(B137,-1,0)),IF(B$8&lt;$K137,IF(OFFSET(B137,-1,0)="","ERR",OFFSET(B137,-1,0)),""))</f>
        <v/>
      </c>
      <c r="C137" s="11">
        <f>IF($K137=C$8,1+IF(OFFSET(C137,-1,0)="",0,OFFSET(C137,-1,0)),IF(C$8&lt;$K137,IF(OFFSET(C137,-1,0)="","ERR",OFFSET(C137,-1,0)),""))</f>
        <v/>
      </c>
      <c r="D137" s="11">
        <f>IF($K137=D$8,1+IF(OFFSET(D137,-1,0)="",0,OFFSET(D137,-1,0)),IF(D$8&lt;$K137,IF(OFFSET(D137,-1,0)="","ERR",OFFSET(D137,-1,0)),""))</f>
        <v/>
      </c>
      <c r="E137" s="11">
        <f>IF($K137=E$8,1+IF(OFFSET(E137,-1,0)="",0,OFFSET(E137,-1,0)),IF(E$8&lt;$K137,IF(OFFSET(E137,-1,0)="","ERR",OFFSET(E137,-1,0)),""))</f>
        <v/>
      </c>
      <c r="F137" s="11">
        <f>IF($K137=F$8,1+IF(OFFSET(F137,-1,0)="",0,OFFSET(F137,-1,0)),IF(F$8&lt;$K137,IF(OFFSET(F137,-1,0)="","ERR",OFFSET(F137,-1,0)),""))</f>
        <v/>
      </c>
      <c r="G137" s="11">
        <f>IF($K137=G$8,1+IF(OFFSET(G137,-1,0)="",0,OFFSET(G137,-1,0)),IF(G$8&lt;$K137,IF(OFFSET(G137,-1,0)="","ERR",OFFSET(G137,-1,0)),""))</f>
        <v/>
      </c>
      <c r="H137" s="11">
        <f>IF($K137=H$8,1+IF(OFFSET(H137,-1,0)="",0,OFFSET(H137,-1,0)),IF(H$8&lt;$K137,IF(OFFSET(H137,-1,0)="","ERR",OFFSET(H137,-1,0)),""))</f>
        <v/>
      </c>
      <c r="I137" s="11">
        <f>IF($K137=I$8,1+IF(OFFSET(I137,-1,0)="",0,OFFSET(I137,-1,0)),IF(I$8&lt;$K137,IF(OFFSET(I137,-1,0)="","ERR",OFFSET(I137,-1,0)),""))</f>
        <v/>
      </c>
      <c r="J137" s="46">
        <f>_xlfn.TEXTJOIN(".",1,B137:I137)</f>
        <v/>
      </c>
      <c r="K137" s="46" t="inlineStr">
        <is>
          <t>Л7</t>
        </is>
      </c>
      <c r="L137" s="46" t="n"/>
      <c r="M137" s="47" t="inlineStr">
        <is>
          <t>Комплект проводов заземления для шкафа ШТК-М, универсальный, ПЗ-ШТК-М, ТМ «ЦМО»</t>
        </is>
      </c>
      <c r="N137" s="46" t="inlineStr">
        <is>
          <t>шт.</t>
        </is>
      </c>
      <c r="O137" s="94">
        <f>P137+Q137+S137+V137</f>
        <v/>
      </c>
      <c r="P137" s="46" t="n"/>
      <c r="Q137" s="46" t="n"/>
      <c r="R137" s="46" t="n"/>
      <c r="S137" s="46" t="n"/>
      <c r="T137" s="46" t="n"/>
      <c r="U137" s="46" t="n">
        <v>1</v>
      </c>
      <c r="V137" s="46" t="n">
        <v>1</v>
      </c>
      <c r="W137" s="46" t="n"/>
      <c r="X137" s="46" t="n"/>
      <c r="Y137" s="46" t="n"/>
      <c r="Z137" s="46" t="n"/>
      <c r="AA137" s="48" t="n"/>
      <c r="AB137" s="179" t="n"/>
      <c r="AC137" s="189" t="n"/>
      <c r="AD137" s="189">
        <f>SUM(AB137:AC137)</f>
        <v/>
      </c>
      <c r="AE137" s="189">
        <f>AB137*$O137</f>
        <v/>
      </c>
      <c r="AF137" s="189">
        <f>AC137*$O137</f>
        <v/>
      </c>
      <c r="AG137" s="189">
        <f>SUM(AE137:AF137)</f>
        <v/>
      </c>
      <c r="AH137" s="182" t="n"/>
    </row>
    <row r="138" outlineLevel="1">
      <c r="A138" s="18" t="inlineStr">
        <is>
          <t>О</t>
        </is>
      </c>
      <c r="B138" s="11">
        <f>IF($K138=B$8,1+IF(OFFSET(B138,-1,0)="",0,OFFSET(B138,-1,0)),IF(B$8&lt;$K138,IF(OFFSET(B138,-1,0)="","ERR",OFFSET(B138,-1,0)),""))</f>
        <v/>
      </c>
      <c r="C138" s="11">
        <f>IF($K138=C$8,1+IF(OFFSET(C138,-1,0)="",0,OFFSET(C138,-1,0)),IF(C$8&lt;$K138,IF(OFFSET(C138,-1,0)="","ERR",OFFSET(C138,-1,0)),""))</f>
        <v/>
      </c>
      <c r="D138" s="11">
        <f>IF($K138=D$8,1+IF(OFFSET(D138,-1,0)="",0,OFFSET(D138,-1,0)),IF(D$8&lt;$K138,IF(OFFSET(D138,-1,0)="","ERR",OFFSET(D138,-1,0)),""))</f>
        <v/>
      </c>
      <c r="E138" s="11">
        <f>IF($K138=E$8,1+IF(OFFSET(E138,-1,0)="",0,OFFSET(E138,-1,0)),IF(E$8&lt;$K138,IF(OFFSET(E138,-1,0)="","ERR",OFFSET(E138,-1,0)),""))</f>
        <v/>
      </c>
      <c r="F138" s="11">
        <f>IF($K138=F$8,1+IF(OFFSET(F138,-1,0)="",0,OFFSET(F138,-1,0)),IF(F$8&lt;$K138,IF(OFFSET(F138,-1,0)="","ERR",OFFSET(F138,-1,0)),""))</f>
        <v/>
      </c>
      <c r="G138" s="11">
        <f>IF($K138=G$8,1+IF(OFFSET(G138,-1,0)="",0,OFFSET(G138,-1,0)),IF(G$8&lt;$K138,IF(OFFSET(G138,-1,0)="","ERR",OFFSET(G138,-1,0)),""))</f>
        <v/>
      </c>
      <c r="H138" s="11">
        <f>IF($K138=H$8,1+IF(OFFSET(H138,-1,0)="",0,OFFSET(H138,-1,0)),IF(H$8&lt;$K138,IF(OFFSET(H138,-1,0)="","ERR",OFFSET(H138,-1,0)),""))</f>
        <v/>
      </c>
      <c r="I138" s="11">
        <f>IF($K138=I$8,1+IF(OFFSET(I138,-1,0)="",0,OFFSET(I138,-1,0)),IF(I$8&lt;$K138,IF(OFFSET(I138,-1,0)="","ERR",OFFSET(I138,-1,0)),""))</f>
        <v/>
      </c>
      <c r="J138" s="49">
        <f>_xlfn.TEXTJOIN(".",1,B138:I138)</f>
        <v/>
      </c>
      <c r="K138" s="49" t="inlineStr">
        <is>
          <t>Л7</t>
        </is>
      </c>
      <c r="L138" s="49" t="n"/>
      <c r="M138" s="63" t="inlineStr">
        <is>
          <t>SFP-трансивер с 1 портом 10 Гбит/с, для одномодового оптического кабеля, LTV-SFP-10G-LC10, LTV</t>
        </is>
      </c>
      <c r="N138" s="49" t="inlineStr">
        <is>
          <t>шт.</t>
        </is>
      </c>
      <c r="O138" s="50">
        <f>P138+Q138+S138+V138</f>
        <v/>
      </c>
      <c r="P138" s="49" t="n"/>
      <c r="Q138" s="49" t="n"/>
      <c r="R138" s="49" t="n"/>
      <c r="S138" s="49" t="n"/>
      <c r="T138" s="49" t="n"/>
      <c r="U138" s="49" t="n">
        <v>8</v>
      </c>
      <c r="V138" s="49" t="n">
        <v>8</v>
      </c>
      <c r="W138" s="50" t="n">
        <v>1</v>
      </c>
      <c r="X138" s="26" t="n">
        <v>5040070405</v>
      </c>
      <c r="Y138" s="26" t="n">
        <v>772201001</v>
      </c>
      <c r="Z138" s="26" t="inlineStr">
        <is>
          <t>ООО "ЛУИС+"</t>
        </is>
      </c>
      <c r="AA138" s="51" t="inlineStr">
        <is>
          <t>ГТ</t>
        </is>
      </c>
      <c r="AB138" s="188" t="n"/>
      <c r="AC138" s="189" t="n"/>
      <c r="AD138" s="190">
        <f>SUM(AB138:AC138)</f>
        <v/>
      </c>
      <c r="AE138" s="190">
        <f>AB138*$O138*$W138</f>
        <v/>
      </c>
      <c r="AF138" s="190">
        <f>AC138*$O138*$W138</f>
        <v/>
      </c>
      <c r="AG138" s="190">
        <f>SUM(AE138:AF138)</f>
        <v/>
      </c>
      <c r="AH138" s="182" t="n"/>
    </row>
    <row r="139" outlineLevel="1">
      <c r="A139" s="18" t="inlineStr">
        <is>
          <t>О</t>
        </is>
      </c>
      <c r="B139" s="11">
        <f>IF($K139=B$8,1+IF(OFFSET(B139,-1,0)="",0,OFFSET(B139,-1,0)),IF(B$8&lt;$K139,IF(OFFSET(B139,-1,0)="","ERR",OFFSET(B139,-1,0)),""))</f>
        <v/>
      </c>
      <c r="C139" s="11">
        <f>IF($K139=C$8,1+IF(OFFSET(C139,-1,0)="",0,OFFSET(C139,-1,0)),IF(C$8&lt;$K139,IF(OFFSET(C139,-1,0)="","ERR",OFFSET(C139,-1,0)),""))</f>
        <v/>
      </c>
      <c r="D139" s="11">
        <f>IF($K139=D$8,1+IF(OFFSET(D139,-1,0)="",0,OFFSET(D139,-1,0)),IF(D$8&lt;$K139,IF(OFFSET(D139,-1,0)="","ERR",OFFSET(D139,-1,0)),""))</f>
        <v/>
      </c>
      <c r="E139" s="11">
        <f>IF($K139=E$8,1+IF(OFFSET(E139,-1,0)="",0,OFFSET(E139,-1,0)),IF(E$8&lt;$K139,IF(OFFSET(E139,-1,0)="","ERR",OFFSET(E139,-1,0)),""))</f>
        <v/>
      </c>
      <c r="F139" s="11">
        <f>IF($K139=F$8,1+IF(OFFSET(F139,-1,0)="",0,OFFSET(F139,-1,0)),IF(F$8&lt;$K139,IF(OFFSET(F139,-1,0)="","ERR",OFFSET(F139,-1,0)),""))</f>
        <v/>
      </c>
      <c r="G139" s="11">
        <f>IF($K139=G$8,1+IF(OFFSET(G139,-1,0)="",0,OFFSET(G139,-1,0)),IF(G$8&lt;$K139,IF(OFFSET(G139,-1,0)="","ERR",OFFSET(G139,-1,0)),""))</f>
        <v/>
      </c>
      <c r="H139" s="11">
        <f>IF($K139=H$8,1+IF(OFFSET(H139,-1,0)="",0,OFFSET(H139,-1,0)),IF(H$8&lt;$K139,IF(OFFSET(H139,-1,0)="","ERR",OFFSET(H139,-1,0)),""))</f>
        <v/>
      </c>
      <c r="I139" s="11">
        <f>IF($K139=I$8,1+IF(OFFSET(I139,-1,0)="",0,OFFSET(I139,-1,0)),IF(I$8&lt;$K139,IF(OFFSET(I139,-1,0)="","ERR",OFFSET(I139,-1,0)),""))</f>
        <v/>
      </c>
      <c r="J139" s="49">
        <f>_xlfn.TEXTJOIN(".",1,B139:I139)</f>
        <v/>
      </c>
      <c r="K139" s="49" t="inlineStr">
        <is>
          <t>Л7</t>
        </is>
      </c>
      <c r="L139" s="49" t="n"/>
      <c r="M139" s="63" t="inlineStr">
        <is>
          <t>SFP-трансивер с 1 портом 1 Гбит/с, для одномодового оптического кабеля, LTV-SFP-1G-LC20, LTV</t>
        </is>
      </c>
      <c r="N139" s="49" t="inlineStr">
        <is>
          <t>шт.</t>
        </is>
      </c>
      <c r="O139" s="50">
        <f>P139+Q139+S139+V139</f>
        <v/>
      </c>
      <c r="P139" s="49" t="n"/>
      <c r="Q139" s="49" t="n"/>
      <c r="R139" s="49" t="n"/>
      <c r="S139" s="49" t="n"/>
      <c r="T139" s="49" t="n"/>
      <c r="U139" s="49" t="n">
        <v>13</v>
      </c>
      <c r="V139" s="49" t="n">
        <v>13</v>
      </c>
      <c r="W139" s="50" t="n">
        <v>1</v>
      </c>
      <c r="X139" s="26" t="n">
        <v>5040070405</v>
      </c>
      <c r="Y139" s="26" t="n">
        <v>772201001</v>
      </c>
      <c r="Z139" s="26" t="inlineStr">
        <is>
          <t>ООО "ЛУИС+"</t>
        </is>
      </c>
      <c r="AA139" s="51" t="inlineStr">
        <is>
          <t>ГТ</t>
        </is>
      </c>
      <c r="AB139" s="188" t="n"/>
      <c r="AC139" s="189" t="n"/>
      <c r="AD139" s="190">
        <f>SUM(AB139:AC139)</f>
        <v/>
      </c>
      <c r="AE139" s="190">
        <f>AB139*$O139*$W139</f>
        <v/>
      </c>
      <c r="AF139" s="190">
        <f>AC139*$O139*$W139</f>
        <v/>
      </c>
      <c r="AG139" s="190">
        <f>SUM(AE139:AF139)</f>
        <v/>
      </c>
      <c r="AH139" s="182" t="n"/>
    </row>
    <row r="140" outlineLevel="1" ht="25.5" customHeight="1">
      <c r="A140" s="18" t="inlineStr">
        <is>
          <t>О</t>
        </is>
      </c>
      <c r="B140" s="11">
        <f>IF($K140=B$8,1+IF(OFFSET(B140,-1,0)="",0,OFFSET(B140,-1,0)),IF(B$8&lt;$K140,IF(OFFSET(B140,-1,0)="","ERR",OFFSET(B140,-1,0)),""))</f>
        <v/>
      </c>
      <c r="C140" s="11">
        <f>IF($K140=C$8,1+IF(OFFSET(C140,-1,0)="",0,OFFSET(C140,-1,0)),IF(C$8&lt;$K140,IF(OFFSET(C140,-1,0)="","ERR",OFFSET(C140,-1,0)),""))</f>
        <v/>
      </c>
      <c r="D140" s="11">
        <f>IF($K140=D$8,1+IF(OFFSET(D140,-1,0)="",0,OFFSET(D140,-1,0)),IF(D$8&lt;$K140,IF(OFFSET(D140,-1,0)="","ERR",OFFSET(D140,-1,0)),""))</f>
        <v/>
      </c>
      <c r="E140" s="11">
        <f>IF($K140=E$8,1+IF(OFFSET(E140,-1,0)="",0,OFFSET(E140,-1,0)),IF(E$8&lt;$K140,IF(OFFSET(E140,-1,0)="","ERR",OFFSET(E140,-1,0)),""))</f>
        <v/>
      </c>
      <c r="F140" s="11">
        <f>IF($K140=F$8,1+IF(OFFSET(F140,-1,0)="",0,OFFSET(F140,-1,0)),IF(F$8&lt;$K140,IF(OFFSET(F140,-1,0)="","ERR",OFFSET(F140,-1,0)),""))</f>
        <v/>
      </c>
      <c r="G140" s="11">
        <f>IF($K140=G$8,1+IF(OFFSET(G140,-1,0)="",0,OFFSET(G140,-1,0)),IF(G$8&lt;$K140,IF(OFFSET(G140,-1,0)="","ERR",OFFSET(G140,-1,0)),""))</f>
        <v/>
      </c>
      <c r="H140" s="11">
        <f>IF($K140=H$8,1+IF(OFFSET(H140,-1,0)="",0,OFFSET(H140,-1,0)),IF(H$8&lt;$K140,IF(OFFSET(H140,-1,0)="","ERR",OFFSET(H140,-1,0)),""))</f>
        <v/>
      </c>
      <c r="I140" s="11">
        <f>IF($K140=I$8,1+IF(OFFSET(I140,-1,0)="",0,OFFSET(I140,-1,0)),IF(I$8&lt;$K140,IF(OFFSET(I140,-1,0)="","ERR",OFFSET(I140,-1,0)),""))</f>
        <v/>
      </c>
      <c r="J140" s="46">
        <f>_xlfn.TEXTJOIN(".",1,B140:I140)</f>
        <v/>
      </c>
      <c r="K140" s="46" t="inlineStr">
        <is>
          <t>Л7</t>
        </is>
      </c>
      <c r="L140" s="46" t="n"/>
      <c r="M140" s="47" t="inlineStr">
        <is>
          <t>Патч-корд U/UTP, категория 6, 2xRJ45/8p8c, неэкранированный, серый, LSZH, 0.3м, Cabeus PC-UTP-RJ45- Cat.6-0.3m-LSZH, 8875c, Cabeus</t>
        </is>
      </c>
      <c r="N140" s="46" t="inlineStr">
        <is>
          <t>шт.</t>
        </is>
      </c>
      <c r="O140" s="94">
        <f>P140+Q140+S140+V140</f>
        <v/>
      </c>
      <c r="P140" s="46" t="n"/>
      <c r="Q140" s="46" t="n"/>
      <c r="R140" s="46" t="n"/>
      <c r="S140" s="46" t="n"/>
      <c r="T140" s="46" t="n"/>
      <c r="U140" s="46" t="n">
        <v>14</v>
      </c>
      <c r="V140" s="46" t="n">
        <v>14</v>
      </c>
      <c r="W140" s="46" t="n"/>
      <c r="X140" s="46" t="n"/>
      <c r="Y140" s="46" t="n"/>
      <c r="Z140" s="46" t="n"/>
      <c r="AA140" s="48" t="n"/>
      <c r="AB140" s="179" t="n"/>
      <c r="AC140" s="189" t="n"/>
      <c r="AD140" s="189">
        <f>SUM(AB140:AC140)</f>
        <v/>
      </c>
      <c r="AE140" s="189">
        <f>AB140*$O140</f>
        <v/>
      </c>
      <c r="AF140" s="189">
        <f>AC140*$O140</f>
        <v/>
      </c>
      <c r="AG140" s="189">
        <f>SUM(AE140:AF140)</f>
        <v/>
      </c>
      <c r="AH140" s="182" t="n"/>
    </row>
    <row r="141" outlineLevel="1">
      <c r="A141" s="18" t="inlineStr">
        <is>
          <t>О</t>
        </is>
      </c>
      <c r="B141" s="11">
        <f>IF($K141=B$8,1+IF(OFFSET(B141,-1,0)="",0,OFFSET(B141,-1,0)),IF(B$8&lt;$K141,IF(OFFSET(B141,-1,0)="","ERR",OFFSET(B141,-1,0)),""))</f>
        <v/>
      </c>
      <c r="C141" s="11">
        <f>IF($K141=C$8,1+IF(OFFSET(C141,-1,0)="",0,OFFSET(C141,-1,0)),IF(C$8&lt;$K141,IF(OFFSET(C141,-1,0)="","ERR",OFFSET(C141,-1,0)),""))</f>
        <v/>
      </c>
      <c r="D141" s="11">
        <f>IF($K141=D$8,1+IF(OFFSET(D141,-1,0)="",0,OFFSET(D141,-1,0)),IF(D$8&lt;$K141,IF(OFFSET(D141,-1,0)="","ERR",OFFSET(D141,-1,0)),""))</f>
        <v/>
      </c>
      <c r="E141" s="11">
        <f>IF($K141=E$8,1+IF(OFFSET(E141,-1,0)="",0,OFFSET(E141,-1,0)),IF(E$8&lt;$K141,IF(OFFSET(E141,-1,0)="","ERR",OFFSET(E141,-1,0)),""))</f>
        <v/>
      </c>
      <c r="F141" s="11">
        <f>IF($K141=F$8,1+IF(OFFSET(F141,-1,0)="",0,OFFSET(F141,-1,0)),IF(F$8&lt;$K141,IF(OFFSET(F141,-1,0)="","ERR",OFFSET(F141,-1,0)),""))</f>
        <v/>
      </c>
      <c r="G141" s="11">
        <f>IF($K141=G$8,1+IF(OFFSET(G141,-1,0)="",0,OFFSET(G141,-1,0)),IF(G$8&lt;$K141,IF(OFFSET(G141,-1,0)="","ERR",OFFSET(G141,-1,0)),""))</f>
        <v/>
      </c>
      <c r="H141" s="11">
        <f>IF($K141=H$8,1+IF(OFFSET(H141,-1,0)="",0,OFFSET(H141,-1,0)),IF(H$8&lt;$K141,IF(OFFSET(H141,-1,0)="","ERR",OFFSET(H141,-1,0)),""))</f>
        <v/>
      </c>
      <c r="I141" s="11">
        <f>IF($K141=I$8,1+IF(OFFSET(I141,-1,0)="",0,OFFSET(I141,-1,0)),IF(I$8&lt;$K141,IF(OFFSET(I141,-1,0)="","ERR",OFFSET(I141,-1,0)),""))</f>
        <v/>
      </c>
      <c r="J141" s="46">
        <f>_xlfn.TEXTJOIN(".",1,B141:I141)</f>
        <v/>
      </c>
      <c r="K141" s="46" t="inlineStr">
        <is>
          <t>Л7</t>
        </is>
      </c>
      <c r="L141" s="46" t="n"/>
      <c r="M141" s="47" t="inlineStr">
        <is>
          <t>Шнур оптический duplex  LC-LC 9/125 sm 1м LSZH, Cabeus FOP(d)-9-LC-LC-1m, Cabeus</t>
        </is>
      </c>
      <c r="N141" s="46" t="inlineStr">
        <is>
          <t>шт.</t>
        </is>
      </c>
      <c r="O141" s="94">
        <f>P141+Q141+S141+V141</f>
        <v/>
      </c>
      <c r="P141" s="46" t="n"/>
      <c r="Q141" s="46" t="n"/>
      <c r="R141" s="46" t="n"/>
      <c r="S141" s="46" t="n"/>
      <c r="T141" s="46" t="n"/>
      <c r="U141" s="46" t="n">
        <v>17</v>
      </c>
      <c r="V141" s="46" t="n">
        <v>17</v>
      </c>
      <c r="W141" s="46" t="n"/>
      <c r="X141" s="46" t="n"/>
      <c r="Y141" s="46" t="n"/>
      <c r="Z141" s="46" t="n"/>
      <c r="AA141" s="48" t="n"/>
      <c r="AB141" s="179" t="n"/>
      <c r="AC141" s="189" t="n"/>
      <c r="AD141" s="189">
        <f>SUM(AB141:AC141)</f>
        <v/>
      </c>
      <c r="AE141" s="189">
        <f>AB141*$O141</f>
        <v/>
      </c>
      <c r="AF141" s="189">
        <f>AC141*$O141</f>
        <v/>
      </c>
      <c r="AG141" s="189">
        <f>SUM(AE141:AF141)</f>
        <v/>
      </c>
      <c r="AH141" s="182" t="n"/>
    </row>
    <row r="142" outlineLevel="1">
      <c r="A142" s="18" t="inlineStr">
        <is>
          <t>О</t>
        </is>
      </c>
      <c r="B142" s="11">
        <f>IF($K142=B$8,1+IF(OFFSET(B142,-1,0)="",0,OFFSET(B142,-1,0)),IF(B$8&lt;$K142,IF(OFFSET(B142,-1,0)="","ERR",OFFSET(B142,-1,0)),""))</f>
        <v/>
      </c>
      <c r="C142" s="11">
        <f>IF($K142=C$8,1+IF(OFFSET(C142,-1,0)="",0,OFFSET(C142,-1,0)),IF(C$8&lt;$K142,IF(OFFSET(C142,-1,0)="","ERR",OFFSET(C142,-1,0)),""))</f>
        <v/>
      </c>
      <c r="D142" s="11">
        <f>IF($K142=D$8,1+IF(OFFSET(D142,-1,0)="",0,OFFSET(D142,-1,0)),IF(D$8&lt;$K142,IF(OFFSET(D142,-1,0)="","ERR",OFFSET(D142,-1,0)),""))</f>
        <v/>
      </c>
      <c r="E142" s="11">
        <f>IF($K142=E$8,1+IF(OFFSET(E142,-1,0)="",0,OFFSET(E142,-1,0)),IF(E$8&lt;$K142,IF(OFFSET(E142,-1,0)="","ERR",OFFSET(E142,-1,0)),""))</f>
        <v/>
      </c>
      <c r="F142" s="11">
        <f>IF($K142=F$8,1+IF(OFFSET(F142,-1,0)="",0,OFFSET(F142,-1,0)),IF(F$8&lt;$K142,IF(OFFSET(F142,-1,0)="","ERR",OFFSET(F142,-1,0)),""))</f>
        <v/>
      </c>
      <c r="G142" s="11">
        <f>IF($K142=G$8,1+IF(OFFSET(G142,-1,0)="",0,OFFSET(G142,-1,0)),IF(G$8&lt;$K142,IF(OFFSET(G142,-1,0)="","ERR",OFFSET(G142,-1,0)),""))</f>
        <v/>
      </c>
      <c r="H142" s="11">
        <f>IF($K142=H$8,1+IF(OFFSET(H142,-1,0)="",0,OFFSET(H142,-1,0)),IF(H$8&lt;$K142,IF(OFFSET(H142,-1,0)="","ERR",OFFSET(H142,-1,0)),""))</f>
        <v/>
      </c>
      <c r="I142" s="11">
        <f>IF($K142=I$8,1+IF(OFFSET(I142,-1,0)="",0,OFFSET(I142,-1,0)),IF(I$8&lt;$K142,IF(OFFSET(I142,-1,0)="","ERR",OFFSET(I142,-1,0)),""))</f>
        <v/>
      </c>
      <c r="J142" s="46">
        <f>_xlfn.TEXTJOIN(".",1,B142:I142)</f>
        <v/>
      </c>
      <c r="K142" s="46" t="inlineStr">
        <is>
          <t>Л7</t>
        </is>
      </c>
      <c r="L142" s="46" t="n"/>
      <c r="M142" s="47" t="inlineStr">
        <is>
          <t>Ролики для напольных шкафов нагрузка до 600 кг, ШТК-М-150, ТМ «ЦМО»</t>
        </is>
      </c>
      <c r="N142" s="46" t="inlineStr">
        <is>
          <t>шт.</t>
        </is>
      </c>
      <c r="O142" s="94">
        <f>P142+Q142+S142+V142</f>
        <v/>
      </c>
      <c r="P142" s="46" t="n"/>
      <c r="Q142" s="46" t="n"/>
      <c r="R142" s="46" t="n"/>
      <c r="S142" s="46" t="n"/>
      <c r="T142" s="46" t="n"/>
      <c r="U142" s="46" t="n">
        <v>1</v>
      </c>
      <c r="V142" s="46" t="n">
        <v>1</v>
      </c>
      <c r="W142" s="46" t="n"/>
      <c r="X142" s="46" t="n"/>
      <c r="Y142" s="46" t="n"/>
      <c r="Z142" s="46" t="n"/>
      <c r="AA142" s="48" t="n"/>
      <c r="AB142" s="179" t="n"/>
      <c r="AC142" s="189" t="n"/>
      <c r="AD142" s="189">
        <f>SUM(AB142:AC142)</f>
        <v/>
      </c>
      <c r="AE142" s="189">
        <f>AB142*$O142</f>
        <v/>
      </c>
      <c r="AF142" s="189">
        <f>AC142*$O142</f>
        <v/>
      </c>
      <c r="AG142" s="189">
        <f>SUM(AE142:AF142)</f>
        <v/>
      </c>
      <c r="AH142" s="182" t="n"/>
    </row>
    <row r="143" outlineLevel="1">
      <c r="A143" s="18" t="inlineStr">
        <is>
          <t>О</t>
        </is>
      </c>
      <c r="B143" s="11">
        <f>IF($K143=B$8,1+IF(OFFSET(B143,-1,0)="",0,OFFSET(B143,-1,0)),IF(B$8&lt;$K143,IF(OFFSET(B143,-1,0)="","ERR",OFFSET(B143,-1,0)),""))</f>
        <v/>
      </c>
      <c r="C143" s="11">
        <f>IF($K143=C$8,1+IF(OFFSET(C143,-1,0)="",0,OFFSET(C143,-1,0)),IF(C$8&lt;$K143,IF(OFFSET(C143,-1,0)="","ERR",OFFSET(C143,-1,0)),""))</f>
        <v/>
      </c>
      <c r="D143" s="11">
        <f>IF($K143=D$8,1+IF(OFFSET(D143,-1,0)="",0,OFFSET(D143,-1,0)),IF(D$8&lt;$K143,IF(OFFSET(D143,-1,0)="","ERR",OFFSET(D143,-1,0)),""))</f>
        <v/>
      </c>
      <c r="E143" s="11">
        <f>IF($K143=E$8,1+IF(OFFSET(E143,-1,0)="",0,OFFSET(E143,-1,0)),IF(E$8&lt;$K143,IF(OFFSET(E143,-1,0)="","ERR",OFFSET(E143,-1,0)),""))</f>
        <v/>
      </c>
      <c r="F143" s="11">
        <f>IF($K143=F$8,1+IF(OFFSET(F143,-1,0)="",0,OFFSET(F143,-1,0)),IF(F$8&lt;$K143,IF(OFFSET(F143,-1,0)="","ERR",OFFSET(F143,-1,0)),""))</f>
        <v/>
      </c>
      <c r="G143" s="11">
        <f>IF($K143=G$8,1+IF(OFFSET(G143,-1,0)="",0,OFFSET(G143,-1,0)),IF(G$8&lt;$K143,IF(OFFSET(G143,-1,0)="","ERR",OFFSET(G143,-1,0)),""))</f>
        <v/>
      </c>
      <c r="H143" s="11">
        <f>IF($K143=H$8,1+IF(OFFSET(H143,-1,0)="",0,OFFSET(H143,-1,0)),IF(H$8&lt;$K143,IF(OFFSET(H143,-1,0)="","ERR",OFFSET(H143,-1,0)),""))</f>
        <v/>
      </c>
      <c r="I143" s="11">
        <f>IF($K143=I$8,1+IF(OFFSET(I143,-1,0)="",0,OFFSET(I143,-1,0)),IF(I$8&lt;$K143,IF(OFFSET(I143,-1,0)="","ERR",OFFSET(I143,-1,0)),""))</f>
        <v/>
      </c>
      <c r="J143" s="46">
        <f>_xlfn.TEXTJOIN(".",1,B143:I143)</f>
        <v/>
      </c>
      <c r="K143" s="46" t="inlineStr">
        <is>
          <t>Л7</t>
        </is>
      </c>
      <c r="L143" s="46" t="n"/>
      <c r="M143" s="47" t="inlineStr">
        <is>
          <t>Кабель питания C13 - CEE 7/7, 1.2м, Cabeus PC-186-VDE-1.0-1.2M, Cabeus</t>
        </is>
      </c>
      <c r="N143" s="46" t="inlineStr">
        <is>
          <t>шт.</t>
        </is>
      </c>
      <c r="O143" s="94">
        <f>P143+Q143+S143+V143</f>
        <v/>
      </c>
      <c r="P143" s="46" t="n"/>
      <c r="Q143" s="46" t="n"/>
      <c r="R143" s="46" t="n"/>
      <c r="S143" s="46" t="n"/>
      <c r="T143" s="46" t="n"/>
      <c r="U143" s="46" t="n">
        <v>2</v>
      </c>
      <c r="V143" s="46" t="n">
        <v>2</v>
      </c>
      <c r="W143" s="46" t="n"/>
      <c r="X143" s="46" t="n"/>
      <c r="Y143" s="46" t="n"/>
      <c r="Z143" s="46" t="n"/>
      <c r="AA143" s="48" t="n"/>
      <c r="AB143" s="179" t="n"/>
      <c r="AC143" s="189" t="n"/>
      <c r="AD143" s="189">
        <f>SUM(AB143:AC143)</f>
        <v/>
      </c>
      <c r="AE143" s="189">
        <f>AB143*$O143</f>
        <v/>
      </c>
      <c r="AF143" s="189">
        <f>AC143*$O143</f>
        <v/>
      </c>
      <c r="AG143" s="189">
        <f>SUM(AE143:AF143)</f>
        <v/>
      </c>
      <c r="AH143" s="182" t="n"/>
    </row>
    <row r="144" outlineLevel="1">
      <c r="A144" s="18" t="inlineStr">
        <is>
          <t>О</t>
        </is>
      </c>
      <c r="B144" s="11">
        <f>IF($K144=B$8,1+IF(OFFSET(B144,-1,0)="",0,OFFSET(B144,-1,0)),IF(B$8&lt;$K144,IF(OFFSET(B144,-1,0)="","ERR",OFFSET(B144,-1,0)),""))</f>
        <v/>
      </c>
      <c r="C144" s="11">
        <f>IF($K144=C$8,1+IF(OFFSET(C144,-1,0)="",0,OFFSET(C144,-1,0)),IF(C$8&lt;$K144,IF(OFFSET(C144,-1,0)="","ERR",OFFSET(C144,-1,0)),""))</f>
        <v/>
      </c>
      <c r="D144" s="11">
        <f>IF($K144=D$8,1+IF(OFFSET(D144,-1,0)="",0,OFFSET(D144,-1,0)),IF(D$8&lt;$K144,IF(OFFSET(D144,-1,0)="","ERR",OFFSET(D144,-1,0)),""))</f>
        <v/>
      </c>
      <c r="E144" s="11">
        <f>IF($K144=E$8,1+IF(OFFSET(E144,-1,0)="",0,OFFSET(E144,-1,0)),IF(E$8&lt;$K144,IF(OFFSET(E144,-1,0)="","ERR",OFFSET(E144,-1,0)),""))</f>
        <v/>
      </c>
      <c r="F144" s="11">
        <f>IF($K144=F$8,1+IF(OFFSET(F144,-1,0)="",0,OFFSET(F144,-1,0)),IF(F$8&lt;$K144,IF(OFFSET(F144,-1,0)="","ERR",OFFSET(F144,-1,0)),""))</f>
        <v/>
      </c>
      <c r="G144" s="11">
        <f>IF($K144=G$8,1+IF(OFFSET(G144,-1,0)="",0,OFFSET(G144,-1,0)),IF(G$8&lt;$K144,IF(OFFSET(G144,-1,0)="","ERR",OFFSET(G144,-1,0)),""))</f>
        <v/>
      </c>
      <c r="H144" s="11">
        <f>IF($K144=H$8,1+IF(OFFSET(H144,-1,0)="",0,OFFSET(H144,-1,0)),IF(H$8&lt;$K144,IF(OFFSET(H144,-1,0)="","ERR",OFFSET(H144,-1,0)),""))</f>
        <v/>
      </c>
      <c r="I144" s="11">
        <f>IF($K144=I$8,1+IF(OFFSET(I144,-1,0)="",0,OFFSET(I144,-1,0)),IF(I$8&lt;$K144,IF(OFFSET(I144,-1,0)="","ERR",OFFSET(I144,-1,0)),""))</f>
        <v/>
      </c>
      <c r="J144" s="46">
        <f>_xlfn.TEXTJOIN(".",1,B144:I144)</f>
        <v/>
      </c>
      <c r="K144" s="46" t="inlineStr">
        <is>
          <t>Л7</t>
        </is>
      </c>
      <c r="L144" s="46" t="n"/>
      <c r="M144" s="47" t="inlineStr">
        <is>
          <t>Розетка компьютерная RJ-45, кат. 6, одинарная, внешняя, Dual IDC., WS-8P8C-Cat.6-1, Cabeus</t>
        </is>
      </c>
      <c r="N144" s="46" t="inlineStr">
        <is>
          <t>шт.</t>
        </is>
      </c>
      <c r="O144" s="94">
        <f>P144+Q144+S144+V144</f>
        <v/>
      </c>
      <c r="P144" s="46" t="n"/>
      <c r="Q144" s="46" t="n"/>
      <c r="R144" s="46" t="n"/>
      <c r="S144" s="46" t="n"/>
      <c r="T144" s="46" t="n"/>
      <c r="U144" s="46" t="n">
        <v>5</v>
      </c>
      <c r="V144" s="46" t="n">
        <v>5</v>
      </c>
      <c r="W144" s="46" t="n"/>
      <c r="X144" s="46" t="n"/>
      <c r="Y144" s="46" t="n"/>
      <c r="Z144" s="46" t="n"/>
      <c r="AA144" s="48" t="n"/>
      <c r="AB144" s="179" t="n"/>
      <c r="AC144" s="189" t="n"/>
      <c r="AD144" s="189">
        <f>SUM(AB144:AC144)</f>
        <v/>
      </c>
      <c r="AE144" s="189">
        <f>AB144*$O144</f>
        <v/>
      </c>
      <c r="AF144" s="189">
        <f>AC144*$O144</f>
        <v/>
      </c>
      <c r="AG144" s="189">
        <f>SUM(AE144:AF144)</f>
        <v/>
      </c>
      <c r="AH144" s="182" t="n"/>
    </row>
    <row r="145" outlineLevel="1">
      <c r="A145" s="18" t="inlineStr">
        <is>
          <t>О</t>
        </is>
      </c>
      <c r="B145" s="11">
        <f>IF($K145=B$8,1+IF(OFFSET(B145,-1,0)="",0,OFFSET(B145,-1,0)),IF(B$8&lt;$K145,IF(OFFSET(B145,-1,0)="","ERR",OFFSET(B145,-1,0)),""))</f>
        <v/>
      </c>
      <c r="C145" s="11">
        <f>IF($K145=C$8,1+IF(OFFSET(C145,-1,0)="",0,OFFSET(C145,-1,0)),IF(C$8&lt;$K145,IF(OFFSET(C145,-1,0)="","ERR",OFFSET(C145,-1,0)),""))</f>
        <v/>
      </c>
      <c r="D145" s="11">
        <f>IF($K145=D$8,1+IF(OFFSET(D145,-1,0)="",0,OFFSET(D145,-1,0)),IF(D$8&lt;$K145,IF(OFFSET(D145,-1,0)="","ERR",OFFSET(D145,-1,0)),""))</f>
        <v/>
      </c>
      <c r="E145" s="11">
        <f>IF($K145=E$8,1+IF(OFFSET(E145,-1,0)="",0,OFFSET(E145,-1,0)),IF(E$8&lt;$K145,IF(OFFSET(E145,-1,0)="","ERR",OFFSET(E145,-1,0)),""))</f>
        <v/>
      </c>
      <c r="F145" s="11">
        <f>IF($K145=F$8,1+IF(OFFSET(F145,-1,0)="",0,OFFSET(F145,-1,0)),IF(F$8&lt;$K145,IF(OFFSET(F145,-1,0)="","ERR",OFFSET(F145,-1,0)),""))</f>
        <v/>
      </c>
      <c r="G145" s="11">
        <f>IF($K145=G$8,1+IF(OFFSET(G145,-1,0)="",0,OFFSET(G145,-1,0)),IF(G$8&lt;$K145,IF(OFFSET(G145,-1,0)="","ERR",OFFSET(G145,-1,0)),""))</f>
        <v/>
      </c>
      <c r="H145" s="11">
        <f>IF($K145=H$8,1+IF(OFFSET(H145,-1,0)="",0,OFFSET(H145,-1,0)),IF(H$8&lt;$K145,IF(OFFSET(H145,-1,0)="","ERR",OFFSET(H145,-1,0)),""))</f>
        <v/>
      </c>
      <c r="I145" s="11">
        <f>IF($K145=I$8,1+IF(OFFSET(I145,-1,0)="",0,OFFSET(I145,-1,0)),IF(I$8&lt;$K145,IF(OFFSET(I145,-1,0)="","ERR",OFFSET(I145,-1,0)),""))</f>
        <v/>
      </c>
      <c r="J145" s="46">
        <f>_xlfn.TEXTJOIN(".",1,B145:I145)</f>
        <v/>
      </c>
      <c r="K145" s="46" t="inlineStr">
        <is>
          <t>Л7</t>
        </is>
      </c>
      <c r="L145" s="46" t="n"/>
      <c r="M145" s="64" t="inlineStr">
        <is>
          <t>Сопутствующие и прочие материалы*</t>
        </is>
      </c>
      <c r="N145" s="46" t="inlineStr">
        <is>
          <t>компл</t>
        </is>
      </c>
      <c r="O145" s="94">
        <f>P145+Q145+S145+V145</f>
        <v/>
      </c>
      <c r="P145" s="46" t="n"/>
      <c r="Q145" s="46" t="n"/>
      <c r="R145" s="46" t="n"/>
      <c r="S145" s="46" t="n"/>
      <c r="T145" s="46" t="n"/>
      <c r="U145" s="46" t="n">
        <v>1</v>
      </c>
      <c r="V145" s="46" t="n">
        <v>1</v>
      </c>
      <c r="W145" s="46" t="n"/>
      <c r="X145" s="46" t="n"/>
      <c r="Y145" s="46" t="n"/>
      <c r="Z145" s="46" t="n"/>
      <c r="AA145" s="48" t="n"/>
      <c r="AB145" s="179" t="n"/>
      <c r="AC145" s="189" t="n"/>
      <c r="AD145" s="189">
        <f>SUM(AB145:AC145)</f>
        <v/>
      </c>
      <c r="AE145" s="189">
        <f>AB145*$O145</f>
        <v/>
      </c>
      <c r="AF145" s="189">
        <f>AC145*$O145</f>
        <v/>
      </c>
      <c r="AG145" s="189">
        <f>SUM(AE145:AF145)</f>
        <v/>
      </c>
      <c r="AH145" s="182" t="n"/>
    </row>
    <row r="146" outlineLevel="1">
      <c r="A146" s="18" t="inlineStr">
        <is>
          <t>О</t>
        </is>
      </c>
      <c r="B146" s="11">
        <f>IF($K146=B$8,1+IF(OFFSET(B146,-1,0)="",0,OFFSET(B146,-1,0)),IF(B$8&lt;$K146,IF(OFFSET(B146,-1,0)="","ERR",OFFSET(B146,-1,0)),""))</f>
        <v/>
      </c>
      <c r="C146" s="11">
        <f>IF($K146=C$8,1+IF(OFFSET(C146,-1,0)="",0,OFFSET(C146,-1,0)),IF(C$8&lt;$K146,IF(OFFSET(C146,-1,0)="","ERR",OFFSET(C146,-1,0)),""))</f>
        <v/>
      </c>
      <c r="D146" s="11">
        <f>IF($K146=D$8,1+IF(OFFSET(D146,-1,0)="",0,OFFSET(D146,-1,0)),IF(D$8&lt;$K146,IF(OFFSET(D146,-1,0)="","ERR",OFFSET(D146,-1,0)),""))</f>
        <v/>
      </c>
      <c r="E146" s="11">
        <f>IF($K146=E$8,1+IF(OFFSET(E146,-1,0)="",0,OFFSET(E146,-1,0)),IF(E$8&lt;$K146,IF(OFFSET(E146,-1,0)="","ERR",OFFSET(E146,-1,0)),""))</f>
        <v/>
      </c>
      <c r="F146" s="11">
        <f>IF($K146=F$8,1+IF(OFFSET(F146,-1,0)="",0,OFFSET(F146,-1,0)),IF(F$8&lt;$K146,IF(OFFSET(F146,-1,0)="","ERR",OFFSET(F146,-1,0)),""))</f>
        <v/>
      </c>
      <c r="G146" s="11">
        <f>IF($K146=G$8,1+IF(OFFSET(G146,-1,0)="",0,OFFSET(G146,-1,0)),IF(G$8&lt;$K146,IF(OFFSET(G146,-1,0)="","ERR",OFFSET(G146,-1,0)),""))</f>
        <v/>
      </c>
      <c r="H146" s="11">
        <f>IF($K146=H$8,1+IF(OFFSET(H146,-1,0)="",0,OFFSET(H146,-1,0)),IF(H$8&lt;$K146,IF(OFFSET(H146,-1,0)="","ERR",OFFSET(H146,-1,0)),""))</f>
        <v/>
      </c>
      <c r="I146" s="11">
        <f>IF($K146=I$8,1+IF(OFFSET(I146,-1,0)="",0,OFFSET(I146,-1,0)),IF(I$8&lt;$K146,IF(OFFSET(I146,-1,0)="","ERR",OFFSET(I146,-1,0)),""))</f>
        <v/>
      </c>
      <c r="J146" s="46">
        <f>_xlfn.TEXTJOIN(".",1,B146:I146)</f>
        <v/>
      </c>
      <c r="K146" s="46" t="inlineStr">
        <is>
          <t>Л6</t>
        </is>
      </c>
      <c r="L146" s="46" t="inlineStr">
        <is>
          <t>3.3.3.7.1.2</t>
        </is>
      </c>
      <c r="M146" s="47" t="inlineStr">
        <is>
          <t>Монтаж телекоммуникационного шкафа/стойка (ТШ) навесного комплектного</t>
        </is>
      </c>
      <c r="N146" s="46" t="inlineStr">
        <is>
          <t>компл</t>
        </is>
      </c>
      <c r="O146" s="94">
        <f>P146+Q146+S146+V146</f>
        <v/>
      </c>
      <c r="P146" s="46" t="n"/>
      <c r="Q146" s="46" t="n">
        <v>1</v>
      </c>
      <c r="R146" s="46" t="n">
        <v>1</v>
      </c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8" t="inlineStr">
        <is>
          <t>ТШ СКС 1</t>
        </is>
      </c>
      <c r="AB146" s="187" t="n"/>
      <c r="AC146" s="180" t="n">
        <v>42000</v>
      </c>
      <c r="AD146" s="189">
        <f>SUM(AB146:AC146)</f>
        <v/>
      </c>
      <c r="AE146" s="189">
        <f>AB146*$O146</f>
        <v/>
      </c>
      <c r="AF146" s="189">
        <f>AC146*$O146</f>
        <v/>
      </c>
      <c r="AG146" s="189">
        <f>SUM(AE146:AF146)</f>
        <v/>
      </c>
      <c r="AH146" s="182" t="n"/>
    </row>
    <row r="147" outlineLevel="1" ht="25.5" customHeight="1">
      <c r="A147" s="18" t="inlineStr">
        <is>
          <t>О</t>
        </is>
      </c>
      <c r="B147" s="11">
        <f>IF($K147=B$8,1+IF(OFFSET(B147,-1,0)="",0,OFFSET(B147,-1,0)),IF(B$8&lt;$K147,IF(OFFSET(B147,-1,0)="","ERR",OFFSET(B147,-1,0)),""))</f>
        <v/>
      </c>
      <c r="C147" s="11">
        <f>IF($K147=C$8,1+IF(OFFSET(C147,-1,0)="",0,OFFSET(C147,-1,0)),IF(C$8&lt;$K147,IF(OFFSET(C147,-1,0)="","ERR",OFFSET(C147,-1,0)),""))</f>
        <v/>
      </c>
      <c r="D147" s="11">
        <f>IF($K147=D$8,1+IF(OFFSET(D147,-1,0)="",0,OFFSET(D147,-1,0)),IF(D$8&lt;$K147,IF(OFFSET(D147,-1,0)="","ERR",OFFSET(D147,-1,0)),""))</f>
        <v/>
      </c>
      <c r="E147" s="11">
        <f>IF($K147=E$8,1+IF(OFFSET(E147,-1,0)="",0,OFFSET(E147,-1,0)),IF(E$8&lt;$K147,IF(OFFSET(E147,-1,0)="","ERR",OFFSET(E147,-1,0)),""))</f>
        <v/>
      </c>
      <c r="F147" s="11">
        <f>IF($K147=F$8,1+IF(OFFSET(F147,-1,0)="",0,OFFSET(F147,-1,0)),IF(F$8&lt;$K147,IF(OFFSET(F147,-1,0)="","ERR",OFFSET(F147,-1,0)),""))</f>
        <v/>
      </c>
      <c r="G147" s="11">
        <f>IF($K147=G$8,1+IF(OFFSET(G147,-1,0)="",0,OFFSET(G147,-1,0)),IF(G$8&lt;$K147,IF(OFFSET(G147,-1,0)="","ERR",OFFSET(G147,-1,0)),""))</f>
        <v/>
      </c>
      <c r="H147" s="11">
        <f>IF($K147=H$8,1+IF(OFFSET(H147,-1,0)="",0,OFFSET(H147,-1,0)),IF(H$8&lt;$K147,IF(OFFSET(H147,-1,0)="","ERR",OFFSET(H147,-1,0)),""))</f>
        <v/>
      </c>
      <c r="I147" s="11">
        <f>IF($K147=I$8,1+IF(OFFSET(I147,-1,0)="",0,OFFSET(I147,-1,0)),IF(I$8&lt;$K147,IF(OFFSET(I147,-1,0)="","ERR",OFFSET(I147,-1,0)),""))</f>
        <v/>
      </c>
      <c r="J147" s="46">
        <f>_xlfn.TEXTJOIN(".",1,B147:I147)</f>
        <v/>
      </c>
      <c r="K147" s="46" t="inlineStr">
        <is>
          <t>Л7</t>
        </is>
      </c>
      <c r="L147" s="46" t="n"/>
      <c r="M147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47" s="46" t="inlineStr">
        <is>
          <t>шт.</t>
        </is>
      </c>
      <c r="O147" s="94">
        <f>P147+Q147+S147+V147</f>
        <v/>
      </c>
      <c r="P147" s="46" t="n"/>
      <c r="Q147" s="46" t="n">
        <v>1</v>
      </c>
      <c r="R147" s="46" t="n">
        <v>1</v>
      </c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8" t="n"/>
      <c r="AB147" s="179" t="n"/>
      <c r="AC147" s="189" t="n"/>
      <c r="AD147" s="189">
        <f>SUM(AB147:AC147)</f>
        <v/>
      </c>
      <c r="AE147" s="189">
        <f>AB147*$O147</f>
        <v/>
      </c>
      <c r="AF147" s="189">
        <f>AC147*$O147</f>
        <v/>
      </c>
      <c r="AG147" s="189">
        <f>SUM(AE147:AF147)</f>
        <v/>
      </c>
      <c r="AH147" s="182" t="n"/>
    </row>
    <row r="148" outlineLevel="1">
      <c r="A148" s="18" t="inlineStr">
        <is>
          <t>О</t>
        </is>
      </c>
      <c r="B148" s="11">
        <f>IF($K148=B$8,1+IF(OFFSET(B148,-1,0)="",0,OFFSET(B148,-1,0)),IF(B$8&lt;$K148,IF(OFFSET(B148,-1,0)="","ERR",OFFSET(B148,-1,0)),""))</f>
        <v/>
      </c>
      <c r="C148" s="11">
        <f>IF($K148=C$8,1+IF(OFFSET(C148,-1,0)="",0,OFFSET(C148,-1,0)),IF(C$8&lt;$K148,IF(OFFSET(C148,-1,0)="","ERR",OFFSET(C148,-1,0)),""))</f>
        <v/>
      </c>
      <c r="D148" s="11">
        <f>IF($K148=D$8,1+IF(OFFSET(D148,-1,0)="",0,OFFSET(D148,-1,0)),IF(D$8&lt;$K148,IF(OFFSET(D148,-1,0)="","ERR",OFFSET(D148,-1,0)),""))</f>
        <v/>
      </c>
      <c r="E148" s="11">
        <f>IF($K148=E$8,1+IF(OFFSET(E148,-1,0)="",0,OFFSET(E148,-1,0)),IF(E$8&lt;$K148,IF(OFFSET(E148,-1,0)="","ERR",OFFSET(E148,-1,0)),""))</f>
        <v/>
      </c>
      <c r="F148" s="11">
        <f>IF($K148=F$8,1+IF(OFFSET(F148,-1,0)="",0,OFFSET(F148,-1,0)),IF(F$8&lt;$K148,IF(OFFSET(F148,-1,0)="","ERR",OFFSET(F148,-1,0)),""))</f>
        <v/>
      </c>
      <c r="G148" s="11">
        <f>IF($K148=G$8,1+IF(OFFSET(G148,-1,0)="",0,OFFSET(G148,-1,0)),IF(G$8&lt;$K148,IF(OFFSET(G148,-1,0)="","ERR",OFFSET(G148,-1,0)),""))</f>
        <v/>
      </c>
      <c r="H148" s="11">
        <f>IF($K148=H$8,1+IF(OFFSET(H148,-1,0)="",0,OFFSET(H148,-1,0)),IF(H$8&lt;$K148,IF(OFFSET(H148,-1,0)="","ERR",OFFSET(H148,-1,0)),""))</f>
        <v/>
      </c>
      <c r="I148" s="11">
        <f>IF($K148=I$8,1+IF(OFFSET(I148,-1,0)="",0,OFFSET(I148,-1,0)),IF(I$8&lt;$K148,IF(OFFSET(I148,-1,0)="","ERR",OFFSET(I148,-1,0)),""))</f>
        <v/>
      </c>
      <c r="J148" s="46">
        <f>_xlfn.TEXTJOIN(".",1,B148:I148)</f>
        <v/>
      </c>
      <c r="K148" s="46" t="inlineStr">
        <is>
          <t>Л7</t>
        </is>
      </c>
      <c r="L148" s="46" t="n"/>
      <c r="M148" s="47" t="inlineStr">
        <is>
          <t>Модули вентиляторные потолочные, R-FAN-3T, ТМ «ЦМО»</t>
        </is>
      </c>
      <c r="N148" s="46" t="inlineStr">
        <is>
          <t>шт.</t>
        </is>
      </c>
      <c r="O148" s="94">
        <f>P148+Q148+S148+V148</f>
        <v/>
      </c>
      <c r="P148" s="46" t="n"/>
      <c r="Q148" s="46" t="n">
        <v>1</v>
      </c>
      <c r="R148" s="46" t="n">
        <v>1</v>
      </c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8" t="n"/>
      <c r="AB148" s="179" t="n"/>
      <c r="AC148" s="189" t="n"/>
      <c r="AD148" s="189">
        <f>SUM(AB148:AC148)</f>
        <v/>
      </c>
      <c r="AE148" s="189">
        <f>AB148*$O148</f>
        <v/>
      </c>
      <c r="AF148" s="189">
        <f>AC148*$O148</f>
        <v/>
      </c>
      <c r="AG148" s="189">
        <f>SUM(AE148:AF148)</f>
        <v/>
      </c>
      <c r="AH148" s="182" t="n"/>
    </row>
    <row r="149" outlineLevel="1">
      <c r="A149" s="18" t="inlineStr">
        <is>
          <t>О</t>
        </is>
      </c>
      <c r="B149" s="11">
        <f>IF($K149=B$8,1+IF(OFFSET(B149,-1,0)="",0,OFFSET(B149,-1,0)),IF(B$8&lt;$K149,IF(OFFSET(B149,-1,0)="","ERR",OFFSET(B149,-1,0)),""))</f>
        <v/>
      </c>
      <c r="C149" s="11">
        <f>IF($K149=C$8,1+IF(OFFSET(C149,-1,0)="",0,OFFSET(C149,-1,0)),IF(C$8&lt;$K149,IF(OFFSET(C149,-1,0)="","ERR",OFFSET(C149,-1,0)),""))</f>
        <v/>
      </c>
      <c r="D149" s="11">
        <f>IF($K149=D$8,1+IF(OFFSET(D149,-1,0)="",0,OFFSET(D149,-1,0)),IF(D$8&lt;$K149,IF(OFFSET(D149,-1,0)="","ERR",OFFSET(D149,-1,0)),""))</f>
        <v/>
      </c>
      <c r="E149" s="11">
        <f>IF($K149=E$8,1+IF(OFFSET(E149,-1,0)="",0,OFFSET(E149,-1,0)),IF(E$8&lt;$K149,IF(OFFSET(E149,-1,0)="","ERR",OFFSET(E149,-1,0)),""))</f>
        <v/>
      </c>
      <c r="F149" s="11">
        <f>IF($K149=F$8,1+IF(OFFSET(F149,-1,0)="",0,OFFSET(F149,-1,0)),IF(F$8&lt;$K149,IF(OFFSET(F149,-1,0)="","ERR",OFFSET(F149,-1,0)),""))</f>
        <v/>
      </c>
      <c r="G149" s="11">
        <f>IF($K149=G$8,1+IF(OFFSET(G149,-1,0)="",0,OFFSET(G149,-1,0)),IF(G$8&lt;$K149,IF(OFFSET(G149,-1,0)="","ERR",OFFSET(G149,-1,0)),""))</f>
        <v/>
      </c>
      <c r="H149" s="11">
        <f>IF($K149=H$8,1+IF(OFFSET(H149,-1,0)="",0,OFFSET(H149,-1,0)),IF(H$8&lt;$K149,IF(OFFSET(H149,-1,0)="","ERR",OFFSET(H149,-1,0)),""))</f>
        <v/>
      </c>
      <c r="I149" s="11">
        <f>IF($K149=I$8,1+IF(OFFSET(I149,-1,0)="",0,OFFSET(I149,-1,0)),IF(I$8&lt;$K149,IF(OFFSET(I149,-1,0)="","ERR",OFFSET(I149,-1,0)),""))</f>
        <v/>
      </c>
      <c r="J149" s="46">
        <f>_xlfn.TEXTJOIN(".",1,B149:I149)</f>
        <v/>
      </c>
      <c r="K149" s="46" t="inlineStr">
        <is>
          <t>Л7</t>
        </is>
      </c>
      <c r="L149" s="46" t="n"/>
      <c r="M149" s="47" t="inlineStr">
        <is>
          <t>Панель осветительная светодиодная, цвет черный, R-LED-220-B, ТМ «ЦМО»</t>
        </is>
      </c>
      <c r="N149" s="46" t="inlineStr">
        <is>
          <t>шт.</t>
        </is>
      </c>
      <c r="O149" s="94">
        <f>P149+Q149+S149+V149</f>
        <v/>
      </c>
      <c r="P149" s="46" t="n"/>
      <c r="Q149" s="46" t="n">
        <v>1</v>
      </c>
      <c r="R149" s="46" t="n">
        <v>1</v>
      </c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8" t="n"/>
      <c r="AB149" s="179" t="n"/>
      <c r="AC149" s="189" t="n"/>
      <c r="AD149" s="189">
        <f>SUM(AB149:AC149)</f>
        <v/>
      </c>
      <c r="AE149" s="189">
        <f>AB149*$O149</f>
        <v/>
      </c>
      <c r="AF149" s="189">
        <f>AC149*$O149</f>
        <v/>
      </c>
      <c r="AG149" s="189">
        <f>SUM(AE149:AF149)</f>
        <v/>
      </c>
      <c r="AH149" s="182" t="n"/>
    </row>
    <row r="150" outlineLevel="1" ht="25.5" customHeight="1">
      <c r="A150" s="18" t="inlineStr">
        <is>
          <t>О</t>
        </is>
      </c>
      <c r="B150" s="11">
        <f>IF($K150=B$8,1+IF(OFFSET(B150,-1,0)="",0,OFFSET(B150,-1,0)),IF(B$8&lt;$K150,IF(OFFSET(B150,-1,0)="","ERR",OFFSET(B150,-1,0)),""))</f>
        <v/>
      </c>
      <c r="C150" s="11">
        <f>IF($K150=C$8,1+IF(OFFSET(C150,-1,0)="",0,OFFSET(C150,-1,0)),IF(C$8&lt;$K150,IF(OFFSET(C150,-1,0)="","ERR",OFFSET(C150,-1,0)),""))</f>
        <v/>
      </c>
      <c r="D150" s="11">
        <f>IF($K150=D$8,1+IF(OFFSET(D150,-1,0)="",0,OFFSET(D150,-1,0)),IF(D$8&lt;$K150,IF(OFFSET(D150,-1,0)="","ERR",OFFSET(D150,-1,0)),""))</f>
        <v/>
      </c>
      <c r="E150" s="11">
        <f>IF($K150=E$8,1+IF(OFFSET(E150,-1,0)="",0,OFFSET(E150,-1,0)),IF(E$8&lt;$K150,IF(OFFSET(E150,-1,0)="","ERR",OFFSET(E150,-1,0)),""))</f>
        <v/>
      </c>
      <c r="F150" s="11">
        <f>IF($K150=F$8,1+IF(OFFSET(F150,-1,0)="",0,OFFSET(F150,-1,0)),IF(F$8&lt;$K150,IF(OFFSET(F150,-1,0)="","ERR",OFFSET(F150,-1,0)),""))</f>
        <v/>
      </c>
      <c r="G150" s="11">
        <f>IF($K150=G$8,1+IF(OFFSET(G150,-1,0)="",0,OFFSET(G150,-1,0)),IF(G$8&lt;$K150,IF(OFFSET(G150,-1,0)="","ERR",OFFSET(G150,-1,0)),""))</f>
        <v/>
      </c>
      <c r="H150" s="11">
        <f>IF($K150=H$8,1+IF(OFFSET(H150,-1,0)="",0,OFFSET(H150,-1,0)),IF(H$8&lt;$K150,IF(OFFSET(H150,-1,0)="","ERR",OFFSET(H150,-1,0)),""))</f>
        <v/>
      </c>
      <c r="I150" s="11">
        <f>IF($K150=I$8,1+IF(OFFSET(I150,-1,0)="",0,OFFSET(I150,-1,0)),IF(I$8&lt;$K150,IF(OFFSET(I150,-1,0)="","ERR",OFFSET(I150,-1,0)),""))</f>
        <v/>
      </c>
      <c r="J150" s="49">
        <f>_xlfn.TEXTJOIN(".",1,B150:I150)</f>
        <v/>
      </c>
      <c r="K150" s="49" t="inlineStr">
        <is>
          <t>Л7</t>
        </is>
      </c>
      <c r="L150" s="49" t="n"/>
      <c r="M150" s="63" t="inlineStr">
        <is>
          <t>L2 коммутатор с 24 портами PoE 100 Мбит/с и 2 портами combo Uplink 1000 Мбит/с RJ-45/SFP, LTV-3S24G4C-MP, LTV</t>
        </is>
      </c>
      <c r="N150" s="49" t="inlineStr">
        <is>
          <t>шт.</t>
        </is>
      </c>
      <c r="O150" s="50">
        <f>P150+Q150+S150+V150</f>
        <v/>
      </c>
      <c r="P150" s="49" t="n"/>
      <c r="Q150" s="49" t="n">
        <v>1</v>
      </c>
      <c r="R150" s="49" t="n">
        <v>1</v>
      </c>
      <c r="S150" s="49" t="n"/>
      <c r="T150" s="49" t="n"/>
      <c r="U150" s="49" t="n"/>
      <c r="V150" s="49" t="n"/>
      <c r="W150" s="50" t="n">
        <v>1</v>
      </c>
      <c r="X150" s="26" t="n">
        <v>5040070405</v>
      </c>
      <c r="Y150" s="26" t="n">
        <v>772201001</v>
      </c>
      <c r="Z150" s="26" t="inlineStr">
        <is>
          <t>ООО "ЛУИС+"</t>
        </is>
      </c>
      <c r="AA150" s="51" t="inlineStr">
        <is>
          <t>ГТ</t>
        </is>
      </c>
      <c r="AB150" s="188" t="n"/>
      <c r="AC150" s="189" t="n"/>
      <c r="AD150" s="190">
        <f>SUM(AB150:AC150)</f>
        <v/>
      </c>
      <c r="AE150" s="190">
        <f>AB150*$O150*$W150</f>
        <v/>
      </c>
      <c r="AF150" s="190">
        <f>AC150*$O150*$W150</f>
        <v/>
      </c>
      <c r="AG150" s="190">
        <f>SUM(AE150:AF150)</f>
        <v/>
      </c>
      <c r="AH150" s="182" t="n"/>
    </row>
    <row r="151" outlineLevel="1">
      <c r="A151" s="18" t="inlineStr">
        <is>
          <t>О</t>
        </is>
      </c>
      <c r="B151" s="11">
        <f>IF($K151=B$8,1+IF(OFFSET(B151,-1,0)="",0,OFFSET(B151,-1,0)),IF(B$8&lt;$K151,IF(OFFSET(B151,-1,0)="","ERR",OFFSET(B151,-1,0)),""))</f>
        <v/>
      </c>
      <c r="C151" s="11">
        <f>IF($K151=C$8,1+IF(OFFSET(C151,-1,0)="",0,OFFSET(C151,-1,0)),IF(C$8&lt;$K151,IF(OFFSET(C151,-1,0)="","ERR",OFFSET(C151,-1,0)),""))</f>
        <v/>
      </c>
      <c r="D151" s="11">
        <f>IF($K151=D$8,1+IF(OFFSET(D151,-1,0)="",0,OFFSET(D151,-1,0)),IF(D$8&lt;$K151,IF(OFFSET(D151,-1,0)="","ERR",OFFSET(D151,-1,0)),""))</f>
        <v/>
      </c>
      <c r="E151" s="11">
        <f>IF($K151=E$8,1+IF(OFFSET(E151,-1,0)="",0,OFFSET(E151,-1,0)),IF(E$8&lt;$K151,IF(OFFSET(E151,-1,0)="","ERR",OFFSET(E151,-1,0)),""))</f>
        <v/>
      </c>
      <c r="F151" s="11">
        <f>IF($K151=F$8,1+IF(OFFSET(F151,-1,0)="",0,OFFSET(F151,-1,0)),IF(F$8&lt;$K151,IF(OFFSET(F151,-1,0)="","ERR",OFFSET(F151,-1,0)),""))</f>
        <v/>
      </c>
      <c r="G151" s="11">
        <f>IF($K151=G$8,1+IF(OFFSET(G151,-1,0)="",0,OFFSET(G151,-1,0)),IF(G$8&lt;$K151,IF(OFFSET(G151,-1,0)="","ERR",OFFSET(G151,-1,0)),""))</f>
        <v/>
      </c>
      <c r="H151" s="11">
        <f>IF($K151=H$8,1+IF(OFFSET(H151,-1,0)="",0,OFFSET(H151,-1,0)),IF(H$8&lt;$K151,IF(OFFSET(H151,-1,0)="","ERR",OFFSET(H151,-1,0)),""))</f>
        <v/>
      </c>
      <c r="I151" s="11">
        <f>IF($K151=I$8,1+IF(OFFSET(I151,-1,0)="",0,OFFSET(I151,-1,0)),IF(I$8&lt;$K151,IF(OFFSET(I151,-1,0)="","ERR",OFFSET(I151,-1,0)),""))</f>
        <v/>
      </c>
      <c r="J151" s="46">
        <f>_xlfn.TEXTJOIN(".",1,B151:I151)</f>
        <v/>
      </c>
      <c r="K151" s="46" t="inlineStr">
        <is>
          <t>Л7</t>
        </is>
      </c>
      <c r="L151" s="46" t="n"/>
      <c r="M151" s="47" t="inlineStr">
        <is>
          <t>Источник бесперебойного питания «Штиль» STR1102SL, STR1102SL, Штиль</t>
        </is>
      </c>
      <c r="N151" s="46" t="inlineStr">
        <is>
          <t>шт.</t>
        </is>
      </c>
      <c r="O151" s="94">
        <f>P151+Q151+S151+V151</f>
        <v/>
      </c>
      <c r="P151" s="46" t="n"/>
      <c r="Q151" s="46" t="n">
        <v>1</v>
      </c>
      <c r="R151" s="46" t="n">
        <v>1</v>
      </c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8" t="n"/>
      <c r="AB151" s="179" t="n"/>
      <c r="AC151" s="189" t="n"/>
      <c r="AD151" s="189">
        <f>SUM(AB151:AC151)</f>
        <v/>
      </c>
      <c r="AE151" s="189">
        <f>AB151*$O151</f>
        <v/>
      </c>
      <c r="AF151" s="189">
        <f>AC151*$O151</f>
        <v/>
      </c>
      <c r="AG151" s="189">
        <f>SUM(AE151:AF151)</f>
        <v/>
      </c>
      <c r="AH151" s="182" t="n"/>
    </row>
    <row r="152" outlineLevel="1">
      <c r="A152" s="18" t="inlineStr">
        <is>
          <t>О</t>
        </is>
      </c>
      <c r="B152" s="11">
        <f>IF($K152=B$8,1+IF(OFFSET(B152,-1,0)="",0,OFFSET(B152,-1,0)),IF(B$8&lt;$K152,IF(OFFSET(B152,-1,0)="","ERR",OFFSET(B152,-1,0)),""))</f>
        <v/>
      </c>
      <c r="C152" s="11">
        <f>IF($K152=C$8,1+IF(OFFSET(C152,-1,0)="",0,OFFSET(C152,-1,0)),IF(C$8&lt;$K152,IF(OFFSET(C152,-1,0)="","ERR",OFFSET(C152,-1,0)),""))</f>
        <v/>
      </c>
      <c r="D152" s="11">
        <f>IF($K152=D$8,1+IF(OFFSET(D152,-1,0)="",0,OFFSET(D152,-1,0)),IF(D$8&lt;$K152,IF(OFFSET(D152,-1,0)="","ERR",OFFSET(D152,-1,0)),""))</f>
        <v/>
      </c>
      <c r="E152" s="11">
        <f>IF($K152=E$8,1+IF(OFFSET(E152,-1,0)="",0,OFFSET(E152,-1,0)),IF(E$8&lt;$K152,IF(OFFSET(E152,-1,0)="","ERR",OFFSET(E152,-1,0)),""))</f>
        <v/>
      </c>
      <c r="F152" s="11">
        <f>IF($K152=F$8,1+IF(OFFSET(F152,-1,0)="",0,OFFSET(F152,-1,0)),IF(F$8&lt;$K152,IF(OFFSET(F152,-1,0)="","ERR",OFFSET(F152,-1,0)),""))</f>
        <v/>
      </c>
      <c r="G152" s="11">
        <f>IF($K152=G$8,1+IF(OFFSET(G152,-1,0)="",0,OFFSET(G152,-1,0)),IF(G$8&lt;$K152,IF(OFFSET(G152,-1,0)="","ERR",OFFSET(G152,-1,0)),""))</f>
        <v/>
      </c>
      <c r="H152" s="11">
        <f>IF($K152=H$8,1+IF(OFFSET(H152,-1,0)="",0,OFFSET(H152,-1,0)),IF(H$8&lt;$K152,IF(OFFSET(H152,-1,0)="","ERR",OFFSET(H152,-1,0)),""))</f>
        <v/>
      </c>
      <c r="I152" s="11">
        <f>IF($K152=I$8,1+IF(OFFSET(I152,-1,0)="",0,OFFSET(I152,-1,0)),IF(I$8&lt;$K152,IF(OFFSET(I152,-1,0)="","ERR",OFFSET(I152,-1,0)),""))</f>
        <v/>
      </c>
      <c r="J152" s="46">
        <f>_xlfn.TEXTJOIN(".",1,B152:I152)</f>
        <v/>
      </c>
      <c r="K152" s="46" t="inlineStr">
        <is>
          <t>Л7</t>
        </is>
      </c>
      <c r="L152" s="46" t="n"/>
      <c r="M152" s="47" t="inlineStr">
        <is>
          <t>Карта мониторинга IC-SNMP/WEB, IC-SNMP/WEB, Штиль</t>
        </is>
      </c>
      <c r="N152" s="46" t="inlineStr">
        <is>
          <t>шт.</t>
        </is>
      </c>
      <c r="O152" s="94">
        <f>P152+Q152+S152+V152</f>
        <v/>
      </c>
      <c r="P152" s="46" t="n"/>
      <c r="Q152" s="46" t="n">
        <v>1</v>
      </c>
      <c r="R152" s="46" t="n">
        <v>1</v>
      </c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8" t="n"/>
      <c r="AB152" s="179" t="n"/>
      <c r="AC152" s="189" t="n"/>
      <c r="AD152" s="189">
        <f>SUM(AB152:AC152)</f>
        <v/>
      </c>
      <c r="AE152" s="189">
        <f>AB152*$O152</f>
        <v/>
      </c>
      <c r="AF152" s="189">
        <f>AC152*$O152</f>
        <v/>
      </c>
      <c r="AG152" s="189">
        <f>SUM(AE152:AF152)</f>
        <v/>
      </c>
      <c r="AH152" s="182" t="n"/>
    </row>
    <row r="153" outlineLevel="1">
      <c r="A153" s="18" t="inlineStr">
        <is>
          <t>О</t>
        </is>
      </c>
      <c r="B153" s="11">
        <f>IF($K153=B$8,1+IF(OFFSET(B153,-1,0)="",0,OFFSET(B153,-1,0)),IF(B$8&lt;$K153,IF(OFFSET(B153,-1,0)="","ERR",OFFSET(B153,-1,0)),""))</f>
        <v/>
      </c>
      <c r="C153" s="11">
        <f>IF($K153=C$8,1+IF(OFFSET(C153,-1,0)="",0,OFFSET(C153,-1,0)),IF(C$8&lt;$K153,IF(OFFSET(C153,-1,0)="","ERR",OFFSET(C153,-1,0)),""))</f>
        <v/>
      </c>
      <c r="D153" s="11">
        <f>IF($K153=D$8,1+IF(OFFSET(D153,-1,0)="",0,OFFSET(D153,-1,0)),IF(D$8&lt;$K153,IF(OFFSET(D153,-1,0)="","ERR",OFFSET(D153,-1,0)),""))</f>
        <v/>
      </c>
      <c r="E153" s="11">
        <f>IF($K153=E$8,1+IF(OFFSET(E153,-1,0)="",0,OFFSET(E153,-1,0)),IF(E$8&lt;$K153,IF(OFFSET(E153,-1,0)="","ERR",OFFSET(E153,-1,0)),""))</f>
        <v/>
      </c>
      <c r="F153" s="11">
        <f>IF($K153=F$8,1+IF(OFFSET(F153,-1,0)="",0,OFFSET(F153,-1,0)),IF(F$8&lt;$K153,IF(OFFSET(F153,-1,0)="","ERR",OFFSET(F153,-1,0)),""))</f>
        <v/>
      </c>
      <c r="G153" s="11">
        <f>IF($K153=G$8,1+IF(OFFSET(G153,-1,0)="",0,OFFSET(G153,-1,0)),IF(G$8&lt;$K153,IF(OFFSET(G153,-1,0)="","ERR",OFFSET(G153,-1,0)),""))</f>
        <v/>
      </c>
      <c r="H153" s="11">
        <f>IF($K153=H$8,1+IF(OFFSET(H153,-1,0)="",0,OFFSET(H153,-1,0)),IF(H$8&lt;$K153,IF(OFFSET(H153,-1,0)="","ERR",OFFSET(H153,-1,0)),""))</f>
        <v/>
      </c>
      <c r="I153" s="11">
        <f>IF($K153=I$8,1+IF(OFFSET(I153,-1,0)="",0,OFFSET(I153,-1,0)),IF(I$8&lt;$K153,IF(OFFSET(I153,-1,0)="","ERR",OFFSET(I153,-1,0)),""))</f>
        <v/>
      </c>
      <c r="J153" s="49">
        <f>_xlfn.TEXTJOIN(".",1,B153:I153)</f>
        <v/>
      </c>
      <c r="K153" s="49" t="inlineStr">
        <is>
          <t>Л7</t>
        </is>
      </c>
      <c r="L153" s="49" t="n"/>
      <c r="M153" s="55" t="inlineStr">
        <is>
          <t>SFP-трансивер с 1 портом 1 Гбит/с, для одномодового оптического кабеля, LTV-SFP-1G-LC20, LTV</t>
        </is>
      </c>
      <c r="N153" s="49" t="inlineStr">
        <is>
          <t>шт.</t>
        </is>
      </c>
      <c r="O153" s="50">
        <f>P153+Q153+S153+V153</f>
        <v/>
      </c>
      <c r="P153" s="49" t="n"/>
      <c r="Q153" s="49" t="n">
        <v>2</v>
      </c>
      <c r="R153" s="49" t="n">
        <v>2</v>
      </c>
      <c r="S153" s="49" t="n"/>
      <c r="T153" s="49" t="n"/>
      <c r="U153" s="49" t="n"/>
      <c r="V153" s="49" t="n"/>
      <c r="W153" s="50" t="n">
        <v>1</v>
      </c>
      <c r="X153" s="26" t="n">
        <v>5040070405</v>
      </c>
      <c r="Y153" s="26" t="n">
        <v>772201001</v>
      </c>
      <c r="Z153" s="26" t="inlineStr">
        <is>
          <t>ООО "ЛУИС+"</t>
        </is>
      </c>
      <c r="AA153" s="51" t="inlineStr">
        <is>
          <t>ГТ</t>
        </is>
      </c>
      <c r="AB153" s="188" t="n"/>
      <c r="AC153" s="189" t="n"/>
      <c r="AD153" s="190">
        <f>SUM(AB153:AC153)</f>
        <v/>
      </c>
      <c r="AE153" s="190">
        <f>AB153*$O153*$W153</f>
        <v/>
      </c>
      <c r="AF153" s="190">
        <f>AC153*$O153*$W153</f>
        <v/>
      </c>
      <c r="AG153" s="190">
        <f>SUM(AE153:AF153)</f>
        <v/>
      </c>
      <c r="AH153" s="182" t="n"/>
    </row>
    <row r="154" outlineLevel="1" ht="25.5" customHeight="1">
      <c r="A154" s="18" t="inlineStr">
        <is>
          <t>О</t>
        </is>
      </c>
      <c r="B154" s="11">
        <f>IF($K154=B$8,1+IF(OFFSET(B154,-1,0)="",0,OFFSET(B154,-1,0)),IF(B$8&lt;$K154,IF(OFFSET(B154,-1,0)="","ERR",OFFSET(B154,-1,0)),""))</f>
        <v/>
      </c>
      <c r="C154" s="11">
        <f>IF($K154=C$8,1+IF(OFFSET(C154,-1,0)="",0,OFFSET(C154,-1,0)),IF(C$8&lt;$K154,IF(OFFSET(C154,-1,0)="","ERR",OFFSET(C154,-1,0)),""))</f>
        <v/>
      </c>
      <c r="D154" s="11">
        <f>IF($K154=D$8,1+IF(OFFSET(D154,-1,0)="",0,OFFSET(D154,-1,0)),IF(D$8&lt;$K154,IF(OFFSET(D154,-1,0)="","ERR",OFFSET(D154,-1,0)),""))</f>
        <v/>
      </c>
      <c r="E154" s="11">
        <f>IF($K154=E$8,1+IF(OFFSET(E154,-1,0)="",0,OFFSET(E154,-1,0)),IF(E$8&lt;$K154,IF(OFFSET(E154,-1,0)="","ERR",OFFSET(E154,-1,0)),""))</f>
        <v/>
      </c>
      <c r="F154" s="11">
        <f>IF($K154=F$8,1+IF(OFFSET(F154,-1,0)="",0,OFFSET(F154,-1,0)),IF(F$8&lt;$K154,IF(OFFSET(F154,-1,0)="","ERR",OFFSET(F154,-1,0)),""))</f>
        <v/>
      </c>
      <c r="G154" s="11">
        <f>IF($K154=G$8,1+IF(OFFSET(G154,-1,0)="",0,OFFSET(G154,-1,0)),IF(G$8&lt;$K154,IF(OFFSET(G154,-1,0)="","ERR",OFFSET(G154,-1,0)),""))</f>
        <v/>
      </c>
      <c r="H154" s="11">
        <f>IF($K154=H$8,1+IF(OFFSET(H154,-1,0)="",0,OFFSET(H154,-1,0)),IF(H$8&lt;$K154,IF(OFFSET(H154,-1,0)="","ERR",OFFSET(H154,-1,0)),""))</f>
        <v/>
      </c>
      <c r="I154" s="11">
        <f>IF($K154=I$8,1+IF(OFFSET(I154,-1,0)="",0,OFFSET(I154,-1,0)),IF(I$8&lt;$K154,IF(OFFSET(I154,-1,0)="","ERR",OFFSET(I154,-1,0)),""))</f>
        <v/>
      </c>
      <c r="J154" s="46">
        <f>_xlfn.TEXTJOIN(".",1,B154:I154)</f>
        <v/>
      </c>
      <c r="K154" s="46" t="inlineStr">
        <is>
          <t>Л7</t>
        </is>
      </c>
      <c r="L154" s="46" t="n"/>
      <c r="M154" s="47" t="inlineStr">
        <is>
          <t>Патч-корд U/UTP, категория 6, 2xRJ45/8p8c, неэкранированный, серый, LSZH, 0.3м, Cabeus PC-UTP-RJ45- Cat.6-0.3m-LSZH, 8875c, Cabeus</t>
        </is>
      </c>
      <c r="N154" s="46" t="inlineStr">
        <is>
          <t>шт.</t>
        </is>
      </c>
      <c r="O154" s="94">
        <f>P154+Q154+S154+V154</f>
        <v/>
      </c>
      <c r="P154" s="46" t="n"/>
      <c r="Q154" s="46" t="n">
        <v>12</v>
      </c>
      <c r="R154" s="46" t="n">
        <v>12</v>
      </c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8" t="n"/>
      <c r="AB154" s="179" t="n"/>
      <c r="AC154" s="189" t="n"/>
      <c r="AD154" s="189">
        <f>SUM(AB154:AC154)</f>
        <v/>
      </c>
      <c r="AE154" s="189">
        <f>AB154*$O154</f>
        <v/>
      </c>
      <c r="AF154" s="189">
        <f>AC154*$O154</f>
        <v/>
      </c>
      <c r="AG154" s="189">
        <f>SUM(AE154:AF154)</f>
        <v/>
      </c>
      <c r="AH154" s="182" t="n"/>
    </row>
    <row r="155" outlineLevel="1">
      <c r="A155" s="18" t="inlineStr">
        <is>
          <t>О</t>
        </is>
      </c>
      <c r="B155" s="11">
        <f>IF($K155=B$8,1+IF(OFFSET(B155,-1,0)="",0,OFFSET(B155,-1,0)),IF(B$8&lt;$K155,IF(OFFSET(B155,-1,0)="","ERR",OFFSET(B155,-1,0)),""))</f>
        <v/>
      </c>
      <c r="C155" s="11">
        <f>IF($K155=C$8,1+IF(OFFSET(C155,-1,0)="",0,OFFSET(C155,-1,0)),IF(C$8&lt;$K155,IF(OFFSET(C155,-1,0)="","ERR",OFFSET(C155,-1,0)),""))</f>
        <v/>
      </c>
      <c r="D155" s="11">
        <f>IF($K155=D$8,1+IF(OFFSET(D155,-1,0)="",0,OFFSET(D155,-1,0)),IF(D$8&lt;$K155,IF(OFFSET(D155,-1,0)="","ERR",OFFSET(D155,-1,0)),""))</f>
        <v/>
      </c>
      <c r="E155" s="11">
        <f>IF($K155=E$8,1+IF(OFFSET(E155,-1,0)="",0,OFFSET(E155,-1,0)),IF(E$8&lt;$K155,IF(OFFSET(E155,-1,0)="","ERR",OFFSET(E155,-1,0)),""))</f>
        <v/>
      </c>
      <c r="F155" s="11">
        <f>IF($K155=F$8,1+IF(OFFSET(F155,-1,0)="",0,OFFSET(F155,-1,0)),IF(F$8&lt;$K155,IF(OFFSET(F155,-1,0)="","ERR",OFFSET(F155,-1,0)),""))</f>
        <v/>
      </c>
      <c r="G155" s="11">
        <f>IF($K155=G$8,1+IF(OFFSET(G155,-1,0)="",0,OFFSET(G155,-1,0)),IF(G$8&lt;$K155,IF(OFFSET(G155,-1,0)="","ERR",OFFSET(G155,-1,0)),""))</f>
        <v/>
      </c>
      <c r="H155" s="11">
        <f>IF($K155=H$8,1+IF(OFFSET(H155,-1,0)="",0,OFFSET(H155,-1,0)),IF(H$8&lt;$K155,IF(OFFSET(H155,-1,0)="","ERR",OFFSET(H155,-1,0)),""))</f>
        <v/>
      </c>
      <c r="I155" s="11">
        <f>IF($K155=I$8,1+IF(OFFSET(I155,-1,0)="",0,OFFSET(I155,-1,0)),IF(I$8&lt;$K155,IF(OFFSET(I155,-1,0)="","ERR",OFFSET(I155,-1,0)),""))</f>
        <v/>
      </c>
      <c r="J155" s="46">
        <f>_xlfn.TEXTJOIN(".",1,B155:I155)</f>
        <v/>
      </c>
      <c r="K155" s="46" t="inlineStr">
        <is>
          <t>Л7</t>
        </is>
      </c>
      <c r="L155" s="46" t="n"/>
      <c r="M155" s="47" t="inlineStr">
        <is>
          <t>Патч-панель 19" (1U), 24 порта RJ-45, категория 6, DUAL, PL-24-Cat.6-Dual, Cabeus</t>
        </is>
      </c>
      <c r="N155" s="46" t="inlineStr">
        <is>
          <t>шт.</t>
        </is>
      </c>
      <c r="O155" s="94">
        <f>P155+Q155+S155+V155</f>
        <v/>
      </c>
      <c r="P155" s="46" t="n"/>
      <c r="Q155" s="46" t="n">
        <v>1</v>
      </c>
      <c r="R155" s="46" t="n">
        <v>1</v>
      </c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8" t="n"/>
      <c r="AB155" s="179" t="n"/>
      <c r="AC155" s="189" t="n"/>
      <c r="AD155" s="189">
        <f>SUM(AB155:AC155)</f>
        <v/>
      </c>
      <c r="AE155" s="189">
        <f>AB155*$O155</f>
        <v/>
      </c>
      <c r="AF155" s="189">
        <f>AC155*$O155</f>
        <v/>
      </c>
      <c r="AG155" s="189">
        <f>SUM(AE155:AF155)</f>
        <v/>
      </c>
      <c r="AH155" s="182" t="n"/>
    </row>
    <row r="156" outlineLevel="1">
      <c r="A156" s="18" t="inlineStr">
        <is>
          <t>О</t>
        </is>
      </c>
      <c r="B156" s="11">
        <f>IF($K156=B$8,1+IF(OFFSET(B156,-1,0)="",0,OFFSET(B156,-1,0)),IF(B$8&lt;$K156,IF(OFFSET(B156,-1,0)="","ERR",OFFSET(B156,-1,0)),""))</f>
        <v/>
      </c>
      <c r="C156" s="11">
        <f>IF($K156=C$8,1+IF(OFFSET(C156,-1,0)="",0,OFFSET(C156,-1,0)),IF(C$8&lt;$K156,IF(OFFSET(C156,-1,0)="","ERR",OFFSET(C156,-1,0)),""))</f>
        <v/>
      </c>
      <c r="D156" s="11">
        <f>IF($K156=D$8,1+IF(OFFSET(D156,-1,0)="",0,OFFSET(D156,-1,0)),IF(D$8&lt;$K156,IF(OFFSET(D156,-1,0)="","ERR",OFFSET(D156,-1,0)),""))</f>
        <v/>
      </c>
      <c r="E156" s="11">
        <f>IF($K156=E$8,1+IF(OFFSET(E156,-1,0)="",0,OFFSET(E156,-1,0)),IF(E$8&lt;$K156,IF(OFFSET(E156,-1,0)="","ERR",OFFSET(E156,-1,0)),""))</f>
        <v/>
      </c>
      <c r="F156" s="11">
        <f>IF($K156=F$8,1+IF(OFFSET(F156,-1,0)="",0,OFFSET(F156,-1,0)),IF(F$8&lt;$K156,IF(OFFSET(F156,-1,0)="","ERR",OFFSET(F156,-1,0)),""))</f>
        <v/>
      </c>
      <c r="G156" s="11">
        <f>IF($K156=G$8,1+IF(OFFSET(G156,-1,0)="",0,OFFSET(G156,-1,0)),IF(G$8&lt;$K156,IF(OFFSET(G156,-1,0)="","ERR",OFFSET(G156,-1,0)),""))</f>
        <v/>
      </c>
      <c r="H156" s="11">
        <f>IF($K156=H$8,1+IF(OFFSET(H156,-1,0)="",0,OFFSET(H156,-1,0)),IF(H$8&lt;$K156,IF(OFFSET(H156,-1,0)="","ERR",OFFSET(H156,-1,0)),""))</f>
        <v/>
      </c>
      <c r="I156" s="11">
        <f>IF($K156=I$8,1+IF(OFFSET(I156,-1,0)="",0,OFFSET(I156,-1,0)),IF(I$8&lt;$K156,IF(OFFSET(I156,-1,0)="","ERR",OFFSET(I156,-1,0)),""))</f>
        <v/>
      </c>
      <c r="J156" s="46">
        <f>_xlfn.TEXTJOIN(".",1,B156:I156)</f>
        <v/>
      </c>
      <c r="K156" s="46" t="inlineStr">
        <is>
          <t>Л7</t>
        </is>
      </c>
      <c r="L156" s="46" t="n"/>
      <c r="M156" s="47" t="inlineStr">
        <is>
          <t>Кабельный органайзер 19" 1U, ГКО-4.62-9005, ТМ «ЦМО»</t>
        </is>
      </c>
      <c r="N156" s="46" t="inlineStr">
        <is>
          <t>шт.</t>
        </is>
      </c>
      <c r="O156" s="94">
        <f>P156+Q156+S156+V156</f>
        <v/>
      </c>
      <c r="P156" s="46" t="n"/>
      <c r="Q156" s="46" t="n">
        <v>2</v>
      </c>
      <c r="R156" s="46" t="n">
        <v>2</v>
      </c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8" t="n"/>
      <c r="AB156" s="179" t="n"/>
      <c r="AC156" s="189" t="n"/>
      <c r="AD156" s="189">
        <f>SUM(AB156:AC156)</f>
        <v/>
      </c>
      <c r="AE156" s="189">
        <f>AB156*$O156</f>
        <v/>
      </c>
      <c r="AF156" s="189">
        <f>AC156*$O156</f>
        <v/>
      </c>
      <c r="AG156" s="189">
        <f>SUM(AE156:AF156)</f>
        <v/>
      </c>
      <c r="AH156" s="182" t="n"/>
    </row>
    <row r="157" outlineLevel="1">
      <c r="A157" s="18" t="inlineStr">
        <is>
          <t>О</t>
        </is>
      </c>
      <c r="B157" s="11">
        <f>IF($K157=B$8,1+IF(OFFSET(B157,-1,0)="",0,OFFSET(B157,-1,0)),IF(B$8&lt;$K157,IF(OFFSET(B157,-1,0)="","ERR",OFFSET(B157,-1,0)),""))</f>
        <v/>
      </c>
      <c r="C157" s="11">
        <f>IF($K157=C$8,1+IF(OFFSET(C157,-1,0)="",0,OFFSET(C157,-1,0)),IF(C$8&lt;$K157,IF(OFFSET(C157,-1,0)="","ERR",OFFSET(C157,-1,0)),""))</f>
        <v/>
      </c>
      <c r="D157" s="11">
        <f>IF($K157=D$8,1+IF(OFFSET(D157,-1,0)="",0,OFFSET(D157,-1,0)),IF(D$8&lt;$K157,IF(OFFSET(D157,-1,0)="","ERR",OFFSET(D157,-1,0)),""))</f>
        <v/>
      </c>
      <c r="E157" s="11">
        <f>IF($K157=E$8,1+IF(OFFSET(E157,-1,0)="",0,OFFSET(E157,-1,0)),IF(E$8&lt;$K157,IF(OFFSET(E157,-1,0)="","ERR",OFFSET(E157,-1,0)),""))</f>
        <v/>
      </c>
      <c r="F157" s="11">
        <f>IF($K157=F$8,1+IF(OFFSET(F157,-1,0)="",0,OFFSET(F157,-1,0)),IF(F$8&lt;$K157,IF(OFFSET(F157,-1,0)="","ERR",OFFSET(F157,-1,0)),""))</f>
        <v/>
      </c>
      <c r="G157" s="11">
        <f>IF($K157=G$8,1+IF(OFFSET(G157,-1,0)="",0,OFFSET(G157,-1,0)),IF(G$8&lt;$K157,IF(OFFSET(G157,-1,0)="","ERR",OFFSET(G157,-1,0)),""))</f>
        <v/>
      </c>
      <c r="H157" s="11">
        <f>IF($K157=H$8,1+IF(OFFSET(H157,-1,0)="",0,OFFSET(H157,-1,0)),IF(H$8&lt;$K157,IF(OFFSET(H157,-1,0)="","ERR",OFFSET(H157,-1,0)),""))</f>
        <v/>
      </c>
      <c r="I157" s="11">
        <f>IF($K157=I$8,1+IF(OFFSET(I157,-1,0)="",0,OFFSET(I157,-1,0)),IF(I$8&lt;$K157,IF(OFFSET(I157,-1,0)="","ERR",OFFSET(I157,-1,0)),""))</f>
        <v/>
      </c>
      <c r="J157" s="46">
        <f>_xlfn.TEXTJOIN(".",1,B157:I157)</f>
        <v/>
      </c>
      <c r="K157" s="46" t="inlineStr">
        <is>
          <t>Л7</t>
        </is>
      </c>
      <c r="L157" s="46" t="n"/>
      <c r="M157" s="47" t="inlineStr">
        <is>
          <t>Комплект для монтажа в стойку ИБП Штиль, 1060905, Штиль</t>
        </is>
      </c>
      <c r="N157" s="46" t="inlineStr">
        <is>
          <t>шт.</t>
        </is>
      </c>
      <c r="O157" s="94">
        <f>P157+Q157+S157+V157</f>
        <v/>
      </c>
      <c r="P157" s="46" t="n"/>
      <c r="Q157" s="46" t="n">
        <v>1</v>
      </c>
      <c r="R157" s="46" t="n">
        <v>1</v>
      </c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8" t="n"/>
      <c r="AB157" s="179" t="n"/>
      <c r="AC157" s="189" t="n"/>
      <c r="AD157" s="189">
        <f>SUM(AB157:AC157)</f>
        <v/>
      </c>
      <c r="AE157" s="189">
        <f>AB157*$O157</f>
        <v/>
      </c>
      <c r="AF157" s="189">
        <f>AC157*$O157</f>
        <v/>
      </c>
      <c r="AG157" s="189">
        <f>SUM(AE157:AF157)</f>
        <v/>
      </c>
      <c r="AH157" s="182" t="n"/>
    </row>
    <row r="158" outlineLevel="1" ht="25.5" customHeight="1">
      <c r="A158" s="18" t="inlineStr">
        <is>
          <t>О</t>
        </is>
      </c>
      <c r="B158" s="11">
        <f>IF($K158=B$8,1+IF(OFFSET(B158,-1,0)="",0,OFFSET(B158,-1,0)),IF(B$8&lt;$K158,IF(OFFSET(B158,-1,0)="","ERR",OFFSET(B158,-1,0)),""))</f>
        <v/>
      </c>
      <c r="C158" s="11">
        <f>IF($K158=C$8,1+IF(OFFSET(C158,-1,0)="",0,OFFSET(C158,-1,0)),IF(C$8&lt;$K158,IF(OFFSET(C158,-1,0)="","ERR",OFFSET(C158,-1,0)),""))</f>
        <v/>
      </c>
      <c r="D158" s="11">
        <f>IF($K158=D$8,1+IF(OFFSET(D158,-1,0)="",0,OFFSET(D158,-1,0)),IF(D$8&lt;$K158,IF(OFFSET(D158,-1,0)="","ERR",OFFSET(D158,-1,0)),""))</f>
        <v/>
      </c>
      <c r="E158" s="11">
        <f>IF($K158=E$8,1+IF(OFFSET(E158,-1,0)="",0,OFFSET(E158,-1,0)),IF(E$8&lt;$K158,IF(OFFSET(E158,-1,0)="","ERR",OFFSET(E158,-1,0)),""))</f>
        <v/>
      </c>
      <c r="F158" s="11">
        <f>IF($K158=F$8,1+IF(OFFSET(F158,-1,0)="",0,OFFSET(F158,-1,0)),IF(F$8&lt;$K158,IF(OFFSET(F158,-1,0)="","ERR",OFFSET(F158,-1,0)),""))</f>
        <v/>
      </c>
      <c r="G158" s="11">
        <f>IF($K158=G$8,1+IF(OFFSET(G158,-1,0)="",0,OFFSET(G158,-1,0)),IF(G$8&lt;$K158,IF(OFFSET(G158,-1,0)="","ERR",OFFSET(G158,-1,0)),""))</f>
        <v/>
      </c>
      <c r="H158" s="11">
        <f>IF($K158=H$8,1+IF(OFFSET(H158,-1,0)="",0,OFFSET(H158,-1,0)),IF(H$8&lt;$K158,IF(OFFSET(H158,-1,0)="","ERR",OFFSET(H158,-1,0)),""))</f>
        <v/>
      </c>
      <c r="I158" s="11">
        <f>IF($K158=I$8,1+IF(OFFSET(I158,-1,0)="",0,OFFSET(I158,-1,0)),IF(I$8&lt;$K158,IF(OFFSET(I158,-1,0)="","ERR",OFFSET(I158,-1,0)),""))</f>
        <v/>
      </c>
      <c r="J158" s="46">
        <f>_xlfn.TEXTJOIN(".",1,B158:I158)</f>
        <v/>
      </c>
      <c r="K158" s="46" t="inlineStr">
        <is>
          <t>Л7</t>
        </is>
      </c>
      <c r="L158" s="46" t="n"/>
      <c r="M158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58" s="46" t="inlineStr">
        <is>
          <t>шт.</t>
        </is>
      </c>
      <c r="O158" s="94">
        <f>P158+Q158+S158+V158</f>
        <v/>
      </c>
      <c r="P158" s="46" t="n"/>
      <c r="Q158" s="46" t="n">
        <v>1</v>
      </c>
      <c r="R158" s="46" t="n">
        <v>1</v>
      </c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8" t="n"/>
      <c r="AB158" s="179" t="n"/>
      <c r="AC158" s="189" t="n"/>
      <c r="AD158" s="189">
        <f>SUM(AB158:AC158)</f>
        <v/>
      </c>
      <c r="AE158" s="189">
        <f>AB158*$O158</f>
        <v/>
      </c>
      <c r="AF158" s="189">
        <f>AC158*$O158</f>
        <v/>
      </c>
      <c r="AG158" s="189">
        <f>SUM(AE158:AF158)</f>
        <v/>
      </c>
      <c r="AH158" s="182" t="n"/>
    </row>
    <row r="159" outlineLevel="1">
      <c r="A159" s="18" t="inlineStr">
        <is>
          <t>О</t>
        </is>
      </c>
      <c r="B159" s="11">
        <f>IF($K159=B$8,1+IF(OFFSET(B159,-1,0)="",0,OFFSET(B159,-1,0)),IF(B$8&lt;$K159,IF(OFFSET(B159,-1,0)="","ERR",OFFSET(B159,-1,0)),""))</f>
        <v/>
      </c>
      <c r="C159" s="11">
        <f>IF($K159=C$8,1+IF(OFFSET(C159,-1,0)="",0,OFFSET(C159,-1,0)),IF(C$8&lt;$K159,IF(OFFSET(C159,-1,0)="","ERR",OFFSET(C159,-1,0)),""))</f>
        <v/>
      </c>
      <c r="D159" s="11">
        <f>IF($K159=D$8,1+IF(OFFSET(D159,-1,0)="",0,OFFSET(D159,-1,0)),IF(D$8&lt;$K159,IF(OFFSET(D159,-1,0)="","ERR",OFFSET(D159,-1,0)),""))</f>
        <v/>
      </c>
      <c r="E159" s="11">
        <f>IF($K159=E$8,1+IF(OFFSET(E159,-1,0)="",0,OFFSET(E159,-1,0)),IF(E$8&lt;$K159,IF(OFFSET(E159,-1,0)="","ERR",OFFSET(E159,-1,0)),""))</f>
        <v/>
      </c>
      <c r="F159" s="11">
        <f>IF($K159=F$8,1+IF(OFFSET(F159,-1,0)="",0,OFFSET(F159,-1,0)),IF(F$8&lt;$K159,IF(OFFSET(F159,-1,0)="","ERR",OFFSET(F159,-1,0)),""))</f>
        <v/>
      </c>
      <c r="G159" s="11">
        <f>IF($K159=G$8,1+IF(OFFSET(G159,-1,0)="",0,OFFSET(G159,-1,0)),IF(G$8&lt;$K159,IF(OFFSET(G159,-1,0)="","ERR",OFFSET(G159,-1,0)),""))</f>
        <v/>
      </c>
      <c r="H159" s="11">
        <f>IF($K159=H$8,1+IF(OFFSET(H159,-1,0)="",0,OFFSET(H159,-1,0)),IF(H$8&lt;$K159,IF(OFFSET(H159,-1,0)="","ERR",OFFSET(H159,-1,0)),""))</f>
        <v/>
      </c>
      <c r="I159" s="11">
        <f>IF($K159=I$8,1+IF(OFFSET(I159,-1,0)="",0,OFFSET(I159,-1,0)),IF(I$8&lt;$K159,IF(OFFSET(I159,-1,0)="","ERR",OFFSET(I159,-1,0)),""))</f>
        <v/>
      </c>
      <c r="J159" s="46">
        <f>_xlfn.TEXTJOIN(".",1,B159:I159)</f>
        <v/>
      </c>
      <c r="K159" s="46" t="inlineStr">
        <is>
          <t>Л7</t>
        </is>
      </c>
      <c r="L159" s="46" t="n"/>
      <c r="M159" s="47" t="inlineStr">
        <is>
          <t>Розетка на DIN-рейку с защитным контактом, 16А, 2P, 220В, IP20, РМ-102 16А, Systeme Electric</t>
        </is>
      </c>
      <c r="N159" s="46" t="inlineStr">
        <is>
          <t>шт.</t>
        </is>
      </c>
      <c r="O159" s="94">
        <f>P159+Q159+S159+V159</f>
        <v/>
      </c>
      <c r="P159" s="46" t="n"/>
      <c r="Q159" s="46" t="n">
        <v>3</v>
      </c>
      <c r="R159" s="46" t="n">
        <v>3</v>
      </c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8" t="n"/>
      <c r="AB159" s="179" t="n"/>
      <c r="AC159" s="189" t="n"/>
      <c r="AD159" s="189">
        <f>SUM(AB159:AC159)</f>
        <v/>
      </c>
      <c r="AE159" s="189">
        <f>AB159*$O159</f>
        <v/>
      </c>
      <c r="AF159" s="189">
        <f>AC159*$O159</f>
        <v/>
      </c>
      <c r="AG159" s="189">
        <f>SUM(AE159:AF159)</f>
        <v/>
      </c>
      <c r="AH159" s="182" t="n"/>
    </row>
    <row r="160" outlineLevel="1">
      <c r="A160" s="18" t="inlineStr">
        <is>
          <t>О</t>
        </is>
      </c>
      <c r="B160" s="11">
        <f>IF($K160=B$8,1+IF(OFFSET(B160,-1,0)="",0,OFFSET(B160,-1,0)),IF(B$8&lt;$K160,IF(OFFSET(B160,-1,0)="","ERR",OFFSET(B160,-1,0)),""))</f>
        <v/>
      </c>
      <c r="C160" s="11">
        <f>IF($K160=C$8,1+IF(OFFSET(C160,-1,0)="",0,OFFSET(C160,-1,0)),IF(C$8&lt;$K160,IF(OFFSET(C160,-1,0)="","ERR",OFFSET(C160,-1,0)),""))</f>
        <v/>
      </c>
      <c r="D160" s="11">
        <f>IF($K160=D$8,1+IF(OFFSET(D160,-1,0)="",0,OFFSET(D160,-1,0)),IF(D$8&lt;$K160,IF(OFFSET(D160,-1,0)="","ERR",OFFSET(D160,-1,0)),""))</f>
        <v/>
      </c>
      <c r="E160" s="11">
        <f>IF($K160=E$8,1+IF(OFFSET(E160,-1,0)="",0,OFFSET(E160,-1,0)),IF(E$8&lt;$K160,IF(OFFSET(E160,-1,0)="","ERR",OFFSET(E160,-1,0)),""))</f>
        <v/>
      </c>
      <c r="F160" s="11">
        <f>IF($K160=F$8,1+IF(OFFSET(F160,-1,0)="",0,OFFSET(F160,-1,0)),IF(F$8&lt;$K160,IF(OFFSET(F160,-1,0)="","ERR",OFFSET(F160,-1,0)),""))</f>
        <v/>
      </c>
      <c r="G160" s="11">
        <f>IF($K160=G$8,1+IF(OFFSET(G160,-1,0)="",0,OFFSET(G160,-1,0)),IF(G$8&lt;$K160,IF(OFFSET(G160,-1,0)="","ERR",OFFSET(G160,-1,0)),""))</f>
        <v/>
      </c>
      <c r="H160" s="11">
        <f>IF($K160=H$8,1+IF(OFFSET(H160,-1,0)="",0,OFFSET(H160,-1,0)),IF(H$8&lt;$K160,IF(OFFSET(H160,-1,0)="","ERR",OFFSET(H160,-1,0)),""))</f>
        <v/>
      </c>
      <c r="I160" s="11">
        <f>IF($K160=I$8,1+IF(OFFSET(I160,-1,0)="",0,OFFSET(I160,-1,0)),IF(I$8&lt;$K160,IF(OFFSET(I160,-1,0)="","ERR",OFFSET(I160,-1,0)),""))</f>
        <v/>
      </c>
      <c r="J160" s="46">
        <f>_xlfn.TEXTJOIN(".",1,B160:I160)</f>
        <v/>
      </c>
      <c r="K160" s="46" t="inlineStr">
        <is>
          <t>Л7</t>
        </is>
      </c>
      <c r="L160" s="46" t="n"/>
      <c r="M160" s="47" t="inlineStr">
        <is>
          <t>Реле контроля однофазного напряжения на DIN-рейку, 1P, 12663, Systeme Electric</t>
        </is>
      </c>
      <c r="N160" s="46" t="inlineStr">
        <is>
          <t>шт.</t>
        </is>
      </c>
      <c r="O160" s="94">
        <f>P160+Q160+S160+V160</f>
        <v/>
      </c>
      <c r="P160" s="46" t="n"/>
      <c r="Q160" s="46" t="n">
        <v>1</v>
      </c>
      <c r="R160" s="46" t="n">
        <v>1</v>
      </c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8" t="n"/>
      <c r="AB160" s="179" t="n"/>
      <c r="AC160" s="189" t="n"/>
      <c r="AD160" s="189">
        <f>SUM(AB160:AC160)</f>
        <v/>
      </c>
      <c r="AE160" s="189">
        <f>AB160*$O160</f>
        <v/>
      </c>
      <c r="AF160" s="189">
        <f>AC160*$O160</f>
        <v/>
      </c>
      <c r="AG160" s="189">
        <f>SUM(AE160:AF160)</f>
        <v/>
      </c>
      <c r="AH160" s="182" t="n"/>
    </row>
    <row r="161" outlineLevel="1">
      <c r="A161" s="18" t="inlineStr">
        <is>
          <t>О</t>
        </is>
      </c>
      <c r="B161" s="11">
        <f>IF($K161=B$8,1+IF(OFFSET(B161,-1,0)="",0,OFFSET(B161,-1,0)),IF(B$8&lt;$K161,IF(OFFSET(B161,-1,0)="","ERR",OFFSET(B161,-1,0)),""))</f>
        <v/>
      </c>
      <c r="C161" s="11">
        <f>IF($K161=C$8,1+IF(OFFSET(C161,-1,0)="",0,OFFSET(C161,-1,0)),IF(C$8&lt;$K161,IF(OFFSET(C161,-1,0)="","ERR",OFFSET(C161,-1,0)),""))</f>
        <v/>
      </c>
      <c r="D161" s="11">
        <f>IF($K161=D$8,1+IF(OFFSET(D161,-1,0)="",0,OFFSET(D161,-1,0)),IF(D$8&lt;$K161,IF(OFFSET(D161,-1,0)="","ERR",OFFSET(D161,-1,0)),""))</f>
        <v/>
      </c>
      <c r="E161" s="11">
        <f>IF($K161=E$8,1+IF(OFFSET(E161,-1,0)="",0,OFFSET(E161,-1,0)),IF(E$8&lt;$K161,IF(OFFSET(E161,-1,0)="","ERR",OFFSET(E161,-1,0)),""))</f>
        <v/>
      </c>
      <c r="F161" s="11">
        <f>IF($K161=F$8,1+IF(OFFSET(F161,-1,0)="",0,OFFSET(F161,-1,0)),IF(F$8&lt;$K161,IF(OFFSET(F161,-1,0)="","ERR",OFFSET(F161,-1,0)),""))</f>
        <v/>
      </c>
      <c r="G161" s="11">
        <f>IF($K161=G$8,1+IF(OFFSET(G161,-1,0)="",0,OFFSET(G161,-1,0)),IF(G$8&lt;$K161,IF(OFFSET(G161,-1,0)="","ERR",OFFSET(G161,-1,0)),""))</f>
        <v/>
      </c>
      <c r="H161" s="11">
        <f>IF($K161=H$8,1+IF(OFFSET(H161,-1,0)="",0,OFFSET(H161,-1,0)),IF(H$8&lt;$K161,IF(OFFSET(H161,-1,0)="","ERR",OFFSET(H161,-1,0)),""))</f>
        <v/>
      </c>
      <c r="I161" s="11">
        <f>IF($K161=I$8,1+IF(OFFSET(I161,-1,0)="",0,OFFSET(I161,-1,0)),IF(I$8&lt;$K161,IF(OFFSET(I161,-1,0)="","ERR",OFFSET(I161,-1,0)),""))</f>
        <v/>
      </c>
      <c r="J161" s="46">
        <f>_xlfn.TEXTJOIN(".",1,B161:I161)</f>
        <v/>
      </c>
      <c r="K161" s="46" t="inlineStr">
        <is>
          <t>Л7</t>
        </is>
      </c>
      <c r="L161" s="46" t="n"/>
      <c r="M161" s="47" t="inlineStr">
        <is>
          <t>Выключатель автоматический на DIN-рейку, 16А, C, 1P, 1- модульный, C9F14116, Systeme Electric</t>
        </is>
      </c>
      <c r="N161" s="46" t="inlineStr">
        <is>
          <t>шт.</t>
        </is>
      </c>
      <c r="O161" s="94">
        <f>P161+Q161+S161+V161</f>
        <v/>
      </c>
      <c r="P161" s="46" t="n"/>
      <c r="Q161" s="46" t="n">
        <v>1</v>
      </c>
      <c r="R161" s="46" t="n">
        <v>1</v>
      </c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8" t="n"/>
      <c r="AB161" s="179" t="n"/>
      <c r="AC161" s="189" t="n"/>
      <c r="AD161" s="189">
        <f>SUM(AB161:AC161)</f>
        <v/>
      </c>
      <c r="AE161" s="189">
        <f>AB161*$O161</f>
        <v/>
      </c>
      <c r="AF161" s="189">
        <f>AC161*$O161</f>
        <v/>
      </c>
      <c r="AG161" s="189">
        <f>SUM(AE161:AF161)</f>
        <v/>
      </c>
      <c r="AH161" s="182" t="n"/>
    </row>
    <row r="162" outlineLevel="1">
      <c r="A162" s="18" t="inlineStr">
        <is>
          <t>О</t>
        </is>
      </c>
      <c r="B162" s="11">
        <f>IF($K162=B$8,1+IF(OFFSET(B162,-1,0)="",0,OFFSET(B162,-1,0)),IF(B$8&lt;$K162,IF(OFFSET(B162,-1,0)="","ERR",OFFSET(B162,-1,0)),""))</f>
        <v/>
      </c>
      <c r="C162" s="11">
        <f>IF($K162=C$8,1+IF(OFFSET(C162,-1,0)="",0,OFFSET(C162,-1,0)),IF(C$8&lt;$K162,IF(OFFSET(C162,-1,0)="","ERR",OFFSET(C162,-1,0)),""))</f>
        <v/>
      </c>
      <c r="D162" s="11">
        <f>IF($K162=D$8,1+IF(OFFSET(D162,-1,0)="",0,OFFSET(D162,-1,0)),IF(D$8&lt;$K162,IF(OFFSET(D162,-1,0)="","ERR",OFFSET(D162,-1,0)),""))</f>
        <v/>
      </c>
      <c r="E162" s="11">
        <f>IF($K162=E$8,1+IF(OFFSET(E162,-1,0)="",0,OFFSET(E162,-1,0)),IF(E$8&lt;$K162,IF(OFFSET(E162,-1,0)="","ERR",OFFSET(E162,-1,0)),""))</f>
        <v/>
      </c>
      <c r="F162" s="11">
        <f>IF($K162=F$8,1+IF(OFFSET(F162,-1,0)="",0,OFFSET(F162,-1,0)),IF(F$8&lt;$K162,IF(OFFSET(F162,-1,0)="","ERR",OFFSET(F162,-1,0)),""))</f>
        <v/>
      </c>
      <c r="G162" s="11">
        <f>IF($K162=G$8,1+IF(OFFSET(G162,-1,0)="",0,OFFSET(G162,-1,0)),IF(G$8&lt;$K162,IF(OFFSET(G162,-1,0)="","ERR",OFFSET(G162,-1,0)),""))</f>
        <v/>
      </c>
      <c r="H162" s="11">
        <f>IF($K162=H$8,1+IF(OFFSET(H162,-1,0)="",0,OFFSET(H162,-1,0)),IF(H$8&lt;$K162,IF(OFFSET(H162,-1,0)="","ERR",OFFSET(H162,-1,0)),""))</f>
        <v/>
      </c>
      <c r="I162" s="11">
        <f>IF($K162=I$8,1+IF(OFFSET(I162,-1,0)="",0,OFFSET(I162,-1,0)),IF(I$8&lt;$K162,IF(OFFSET(I162,-1,0)="","ERR",OFFSET(I162,-1,0)),""))</f>
        <v/>
      </c>
      <c r="J162" s="46">
        <f>_xlfn.TEXTJOIN(".",1,B162:I162)</f>
        <v/>
      </c>
      <c r="K162" s="46" t="inlineStr">
        <is>
          <t>Л7</t>
        </is>
      </c>
      <c r="L162" s="46" t="n"/>
      <c r="M162" s="47" t="inlineStr">
        <is>
          <t>Клеммник винтовой на DIN-рейку, NSYTRV22, Systeme Electric</t>
        </is>
      </c>
      <c r="N162" s="46" t="inlineStr">
        <is>
          <t>шт.</t>
        </is>
      </c>
      <c r="O162" s="94">
        <f>P162+Q162+S162+V162</f>
        <v/>
      </c>
      <c r="P162" s="46" t="n"/>
      <c r="Q162" s="46" t="n">
        <v>2</v>
      </c>
      <c r="R162" s="46" t="n">
        <v>2</v>
      </c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8" t="n"/>
      <c r="AB162" s="179" t="n"/>
      <c r="AC162" s="189" t="n"/>
      <c r="AD162" s="189">
        <f>SUM(AB162:AC162)</f>
        <v/>
      </c>
      <c r="AE162" s="189">
        <f>AB162*$O162</f>
        <v/>
      </c>
      <c r="AF162" s="189">
        <f>AC162*$O162</f>
        <v/>
      </c>
      <c r="AG162" s="189">
        <f>SUM(AE162:AF162)</f>
        <v/>
      </c>
      <c r="AH162" s="182" t="n"/>
    </row>
    <row r="163" outlineLevel="1">
      <c r="A163" s="18" t="inlineStr">
        <is>
          <t>О</t>
        </is>
      </c>
      <c r="B163" s="11">
        <f>IF($K163=B$8,1+IF(OFFSET(B163,-1,0)="",0,OFFSET(B163,-1,0)),IF(B$8&lt;$K163,IF(OFFSET(B163,-1,0)="","ERR",OFFSET(B163,-1,0)),""))</f>
        <v/>
      </c>
      <c r="C163" s="11">
        <f>IF($K163=C$8,1+IF(OFFSET(C163,-1,0)="",0,OFFSET(C163,-1,0)),IF(C$8&lt;$K163,IF(OFFSET(C163,-1,0)="","ERR",OFFSET(C163,-1,0)),""))</f>
        <v/>
      </c>
      <c r="D163" s="11">
        <f>IF($K163=D$8,1+IF(OFFSET(D163,-1,0)="",0,OFFSET(D163,-1,0)),IF(D$8&lt;$K163,IF(OFFSET(D163,-1,0)="","ERR",OFFSET(D163,-1,0)),""))</f>
        <v/>
      </c>
      <c r="E163" s="11">
        <f>IF($K163=E$8,1+IF(OFFSET(E163,-1,0)="",0,OFFSET(E163,-1,0)),IF(E$8&lt;$K163,IF(OFFSET(E163,-1,0)="","ERR",OFFSET(E163,-1,0)),""))</f>
        <v/>
      </c>
      <c r="F163" s="11">
        <f>IF($K163=F$8,1+IF(OFFSET(F163,-1,0)="",0,OFFSET(F163,-1,0)),IF(F$8&lt;$K163,IF(OFFSET(F163,-1,0)="","ERR",OFFSET(F163,-1,0)),""))</f>
        <v/>
      </c>
      <c r="G163" s="11">
        <f>IF($K163=G$8,1+IF(OFFSET(G163,-1,0)="",0,OFFSET(G163,-1,0)),IF(G$8&lt;$K163,IF(OFFSET(G163,-1,0)="","ERR",OFFSET(G163,-1,0)),""))</f>
        <v/>
      </c>
      <c r="H163" s="11">
        <f>IF($K163=H$8,1+IF(OFFSET(H163,-1,0)="",0,OFFSET(H163,-1,0)),IF(H$8&lt;$K163,IF(OFFSET(H163,-1,0)="","ERR",OFFSET(H163,-1,0)),""))</f>
        <v/>
      </c>
      <c r="I163" s="11">
        <f>IF($K163=I$8,1+IF(OFFSET(I163,-1,0)="",0,OFFSET(I163,-1,0)),IF(I$8&lt;$K163,IF(OFFSET(I163,-1,0)="","ERR",OFFSET(I163,-1,0)),""))</f>
        <v/>
      </c>
      <c r="J163" s="46">
        <f>_xlfn.TEXTJOIN(".",1,B163:I163)</f>
        <v/>
      </c>
      <c r="K163" s="46" t="inlineStr">
        <is>
          <t>Л7</t>
        </is>
      </c>
      <c r="L163" s="46" t="n"/>
      <c r="M163" s="47" t="inlineStr">
        <is>
          <t>19″ панель с DIN-рейкой 19", 3U, PS-3U, ТМ «ЦМО»</t>
        </is>
      </c>
      <c r="N163" s="46" t="inlineStr">
        <is>
          <t>шт.</t>
        </is>
      </c>
      <c r="O163" s="94">
        <f>P163+Q163+S163+V163</f>
        <v/>
      </c>
      <c r="P163" s="46" t="n"/>
      <c r="Q163" s="46" t="n">
        <v>1</v>
      </c>
      <c r="R163" s="46" t="n">
        <v>1</v>
      </c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8" t="n"/>
      <c r="AB163" s="179" t="n"/>
      <c r="AC163" s="189" t="n"/>
      <c r="AD163" s="189">
        <f>SUM(AB163:AC163)</f>
        <v/>
      </c>
      <c r="AE163" s="189">
        <f>AB163*$O163</f>
        <v/>
      </c>
      <c r="AF163" s="189">
        <f>AC163*$O163</f>
        <v/>
      </c>
      <c r="AG163" s="189">
        <f>SUM(AE163:AF163)</f>
        <v/>
      </c>
      <c r="AH163" s="182" t="n"/>
    </row>
    <row r="164" outlineLevel="1">
      <c r="A164" s="18" t="inlineStr">
        <is>
          <t>О</t>
        </is>
      </c>
      <c r="B164" s="11">
        <f>IF($K164=B$8,1+IF(OFFSET(B164,-1,0)="",0,OFFSET(B164,-1,0)),IF(B$8&lt;$K164,IF(OFFSET(B164,-1,0)="","ERR",OFFSET(B164,-1,0)),""))</f>
        <v/>
      </c>
      <c r="C164" s="11">
        <f>IF($K164=C$8,1+IF(OFFSET(C164,-1,0)="",0,OFFSET(C164,-1,0)),IF(C$8&lt;$K164,IF(OFFSET(C164,-1,0)="","ERR",OFFSET(C164,-1,0)),""))</f>
        <v/>
      </c>
      <c r="D164" s="11">
        <f>IF($K164=D$8,1+IF(OFFSET(D164,-1,0)="",0,OFFSET(D164,-1,0)),IF(D$8&lt;$K164,IF(OFFSET(D164,-1,0)="","ERR",OFFSET(D164,-1,0)),""))</f>
        <v/>
      </c>
      <c r="E164" s="11">
        <f>IF($K164=E$8,1+IF(OFFSET(E164,-1,0)="",0,OFFSET(E164,-1,0)),IF(E$8&lt;$K164,IF(OFFSET(E164,-1,0)="","ERR",OFFSET(E164,-1,0)),""))</f>
        <v/>
      </c>
      <c r="F164" s="11">
        <f>IF($K164=F$8,1+IF(OFFSET(F164,-1,0)="",0,OFFSET(F164,-1,0)),IF(F$8&lt;$K164,IF(OFFSET(F164,-1,0)="","ERR",OFFSET(F164,-1,0)),""))</f>
        <v/>
      </c>
      <c r="G164" s="11">
        <f>IF($K164=G$8,1+IF(OFFSET(G164,-1,0)="",0,OFFSET(G164,-1,0)),IF(G$8&lt;$K164,IF(OFFSET(G164,-1,0)="","ERR",OFFSET(G164,-1,0)),""))</f>
        <v/>
      </c>
      <c r="H164" s="11">
        <f>IF($K164=H$8,1+IF(OFFSET(H164,-1,0)="",0,OFFSET(H164,-1,0)),IF(H$8&lt;$K164,IF(OFFSET(H164,-1,0)="","ERR",OFFSET(H164,-1,0)),""))</f>
        <v/>
      </c>
      <c r="I164" s="11">
        <f>IF($K164=I$8,1+IF(OFFSET(I164,-1,0)="",0,OFFSET(I164,-1,0)),IF(I$8&lt;$K164,IF(OFFSET(I164,-1,0)="","ERR",OFFSET(I164,-1,0)),""))</f>
        <v/>
      </c>
      <c r="J164" s="46">
        <f>_xlfn.TEXTJOIN(".",1,B164:I164)</f>
        <v/>
      </c>
      <c r="K164" s="46" t="inlineStr">
        <is>
          <t>Л7</t>
        </is>
      </c>
      <c r="L164" s="46" t="n"/>
      <c r="M164" s="47" t="inlineStr">
        <is>
          <t>Шнур оптический duplex  LC-LC 9/125 sm 1м LSZH, Cabeus FOP(d)-9-LC-LC-1m, Cabeus</t>
        </is>
      </c>
      <c r="N164" s="46" t="inlineStr">
        <is>
          <t>шт.</t>
        </is>
      </c>
      <c r="O164" s="94">
        <f>P164+Q164+S164+V164</f>
        <v/>
      </c>
      <c r="P164" s="46" t="n"/>
      <c r="Q164" s="46" t="n">
        <v>2</v>
      </c>
      <c r="R164" s="46" t="n">
        <v>2</v>
      </c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8" t="n"/>
      <c r="AB164" s="179" t="n"/>
      <c r="AC164" s="189" t="n"/>
      <c r="AD164" s="189">
        <f>SUM(AB164:AC164)</f>
        <v/>
      </c>
      <c r="AE164" s="189">
        <f>AB164*$O164</f>
        <v/>
      </c>
      <c r="AF164" s="189">
        <f>AC164*$O164</f>
        <v/>
      </c>
      <c r="AG164" s="189">
        <f>SUM(AE164:AF164)</f>
        <v/>
      </c>
      <c r="AH164" s="182" t="n"/>
    </row>
    <row r="165" outlineLevel="1">
      <c r="A165" s="18" t="inlineStr">
        <is>
          <t>О</t>
        </is>
      </c>
      <c r="B165" s="11">
        <f>IF($K165=B$8,1+IF(OFFSET(B165,-1,0)="",0,OFFSET(B165,-1,0)),IF(B$8&lt;$K165,IF(OFFSET(B165,-1,0)="","ERR",OFFSET(B165,-1,0)),""))</f>
        <v/>
      </c>
      <c r="C165" s="11">
        <f>IF($K165=C$8,1+IF(OFFSET(C165,-1,0)="",0,OFFSET(C165,-1,0)),IF(C$8&lt;$K165,IF(OFFSET(C165,-1,0)="","ERR",OFFSET(C165,-1,0)),""))</f>
        <v/>
      </c>
      <c r="D165" s="11">
        <f>IF($K165=D$8,1+IF(OFFSET(D165,-1,0)="",0,OFFSET(D165,-1,0)),IF(D$8&lt;$K165,IF(OFFSET(D165,-1,0)="","ERR",OFFSET(D165,-1,0)),""))</f>
        <v/>
      </c>
      <c r="E165" s="11">
        <f>IF($K165=E$8,1+IF(OFFSET(E165,-1,0)="",0,OFFSET(E165,-1,0)),IF(E$8&lt;$K165,IF(OFFSET(E165,-1,0)="","ERR",OFFSET(E165,-1,0)),""))</f>
        <v/>
      </c>
      <c r="F165" s="11">
        <f>IF($K165=F$8,1+IF(OFFSET(F165,-1,0)="",0,OFFSET(F165,-1,0)),IF(F$8&lt;$K165,IF(OFFSET(F165,-1,0)="","ERR",OFFSET(F165,-1,0)),""))</f>
        <v/>
      </c>
      <c r="G165" s="11">
        <f>IF($K165=G$8,1+IF(OFFSET(G165,-1,0)="",0,OFFSET(G165,-1,0)),IF(G$8&lt;$K165,IF(OFFSET(G165,-1,0)="","ERR",OFFSET(G165,-1,0)),""))</f>
        <v/>
      </c>
      <c r="H165" s="11">
        <f>IF($K165=H$8,1+IF(OFFSET(H165,-1,0)="",0,OFFSET(H165,-1,0)),IF(H$8&lt;$K165,IF(OFFSET(H165,-1,0)="","ERR",OFFSET(H165,-1,0)),""))</f>
        <v/>
      </c>
      <c r="I165" s="11">
        <f>IF($K165=I$8,1+IF(OFFSET(I165,-1,0)="",0,OFFSET(I165,-1,0)),IF(I$8&lt;$K165,IF(OFFSET(I165,-1,0)="","ERR",OFFSET(I165,-1,0)),""))</f>
        <v/>
      </c>
      <c r="J165" s="46">
        <f>_xlfn.TEXTJOIN(".",1,B165:I165)</f>
        <v/>
      </c>
      <c r="K165" s="46" t="inlineStr">
        <is>
          <t>Л7</t>
        </is>
      </c>
      <c r="L165" s="46" t="n"/>
      <c r="M165" s="47" t="inlineStr">
        <is>
          <t>Кабель питания C13 - C14, 1.2м, Cabeus PC-189-VDE-1.0-1.2M, Cabeus</t>
        </is>
      </c>
      <c r="N165" s="46" t="inlineStr">
        <is>
          <t>шт.</t>
        </is>
      </c>
      <c r="O165" s="94">
        <f>P165+Q165+S165+V165</f>
        <v/>
      </c>
      <c r="P165" s="46" t="n"/>
      <c r="Q165" s="46" t="n">
        <v>1</v>
      </c>
      <c r="R165" s="46" t="n">
        <v>1</v>
      </c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8" t="n"/>
      <c r="AB165" s="179" t="n"/>
      <c r="AC165" s="189" t="n"/>
      <c r="AD165" s="189">
        <f>SUM(AB165:AC165)</f>
        <v/>
      </c>
      <c r="AE165" s="189">
        <f>AB165*$O165</f>
        <v/>
      </c>
      <c r="AF165" s="189">
        <f>AC165*$O165</f>
        <v/>
      </c>
      <c r="AG165" s="189">
        <f>SUM(AE165:AF165)</f>
        <v/>
      </c>
      <c r="AH165" s="182" t="n"/>
    </row>
    <row r="166" outlineLevel="1">
      <c r="A166" s="18" t="inlineStr">
        <is>
          <t>О</t>
        </is>
      </c>
      <c r="B166" s="11">
        <f>IF($K166=B$8,1+IF(OFFSET(B166,-1,0)="",0,OFFSET(B166,-1,0)),IF(B$8&lt;$K166,IF(OFFSET(B166,-1,0)="","ERR",OFFSET(B166,-1,0)),""))</f>
        <v/>
      </c>
      <c r="C166" s="11">
        <f>IF($K166=C$8,1+IF(OFFSET(C166,-1,0)="",0,OFFSET(C166,-1,0)),IF(C$8&lt;$K166,IF(OFFSET(C166,-1,0)="","ERR",OFFSET(C166,-1,0)),""))</f>
        <v/>
      </c>
      <c r="D166" s="11">
        <f>IF($K166=D$8,1+IF(OFFSET(D166,-1,0)="",0,OFFSET(D166,-1,0)),IF(D$8&lt;$K166,IF(OFFSET(D166,-1,0)="","ERR",OFFSET(D166,-1,0)),""))</f>
        <v/>
      </c>
      <c r="E166" s="11">
        <f>IF($K166=E$8,1+IF(OFFSET(E166,-1,0)="",0,OFFSET(E166,-1,0)),IF(E$8&lt;$K166,IF(OFFSET(E166,-1,0)="","ERR",OFFSET(E166,-1,0)),""))</f>
        <v/>
      </c>
      <c r="F166" s="11">
        <f>IF($K166=F$8,1+IF(OFFSET(F166,-1,0)="",0,OFFSET(F166,-1,0)),IF(F$8&lt;$K166,IF(OFFSET(F166,-1,0)="","ERR",OFFSET(F166,-1,0)),""))</f>
        <v/>
      </c>
      <c r="G166" s="11">
        <f>IF($K166=G$8,1+IF(OFFSET(G166,-1,0)="",0,OFFSET(G166,-1,0)),IF(G$8&lt;$K166,IF(OFFSET(G166,-1,0)="","ERR",OFFSET(G166,-1,0)),""))</f>
        <v/>
      </c>
      <c r="H166" s="11">
        <f>IF($K166=H$8,1+IF(OFFSET(H166,-1,0)="",0,OFFSET(H166,-1,0)),IF(H$8&lt;$K166,IF(OFFSET(H166,-1,0)="","ERR",OFFSET(H166,-1,0)),""))</f>
        <v/>
      </c>
      <c r="I166" s="11">
        <f>IF($K166=I$8,1+IF(OFFSET(I166,-1,0)="",0,OFFSET(I166,-1,0)),IF(I$8&lt;$K166,IF(OFFSET(I166,-1,0)="","ERR",OFFSET(I166,-1,0)),""))</f>
        <v/>
      </c>
      <c r="J166" s="46">
        <f>_xlfn.TEXTJOIN(".",1,B166:I166)</f>
        <v/>
      </c>
      <c r="K166" s="46" t="inlineStr">
        <is>
          <t>Л7</t>
        </is>
      </c>
      <c r="L166" s="46" t="n"/>
      <c r="M166" s="47" t="inlineStr">
        <is>
          <t>Кабель питания C13 - CEE 7/7, 1.2м, Cabeus PC-186-VDE-1.0-1.2M, Cabeus</t>
        </is>
      </c>
      <c r="N166" s="46" t="inlineStr">
        <is>
          <t>шт.</t>
        </is>
      </c>
      <c r="O166" s="94">
        <f>P166+Q166+S166+V166</f>
        <v/>
      </c>
      <c r="P166" s="46" t="n"/>
      <c r="Q166" s="46" t="n">
        <v>1</v>
      </c>
      <c r="R166" s="46" t="n">
        <v>1</v>
      </c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8" t="n"/>
      <c r="AB166" s="179" t="n"/>
      <c r="AC166" s="189" t="n"/>
      <c r="AD166" s="189">
        <f>SUM(AB166:AC166)</f>
        <v/>
      </c>
      <c r="AE166" s="189">
        <f>AB166*$O166</f>
        <v/>
      </c>
      <c r="AF166" s="189">
        <f>AC166*$O166</f>
        <v/>
      </c>
      <c r="AG166" s="189">
        <f>SUM(AE166:AF166)</f>
        <v/>
      </c>
      <c r="AH166" s="182" t="n"/>
    </row>
    <row r="167" outlineLevel="1">
      <c r="A167" s="18" t="inlineStr">
        <is>
          <t>О</t>
        </is>
      </c>
      <c r="B167" s="11">
        <f>IF($K167=B$8,1+IF(OFFSET(B167,-1,0)="",0,OFFSET(B167,-1,0)),IF(B$8&lt;$K167,IF(OFFSET(B167,-1,0)="","ERR",OFFSET(B167,-1,0)),""))</f>
        <v/>
      </c>
      <c r="C167" s="11">
        <f>IF($K167=C$8,1+IF(OFFSET(C167,-1,0)="",0,OFFSET(C167,-1,0)),IF(C$8&lt;$K167,IF(OFFSET(C167,-1,0)="","ERR",OFFSET(C167,-1,0)),""))</f>
        <v/>
      </c>
      <c r="D167" s="11">
        <f>IF($K167=D$8,1+IF(OFFSET(D167,-1,0)="",0,OFFSET(D167,-1,0)),IF(D$8&lt;$K167,IF(OFFSET(D167,-1,0)="","ERR",OFFSET(D167,-1,0)),""))</f>
        <v/>
      </c>
      <c r="E167" s="11">
        <f>IF($K167=E$8,1+IF(OFFSET(E167,-1,0)="",0,OFFSET(E167,-1,0)),IF(E$8&lt;$K167,IF(OFFSET(E167,-1,0)="","ERR",OFFSET(E167,-1,0)),""))</f>
        <v/>
      </c>
      <c r="F167" s="11">
        <f>IF($K167=F$8,1+IF(OFFSET(F167,-1,0)="",0,OFFSET(F167,-1,0)),IF(F$8&lt;$K167,IF(OFFSET(F167,-1,0)="","ERR",OFFSET(F167,-1,0)),""))</f>
        <v/>
      </c>
      <c r="G167" s="11">
        <f>IF($K167=G$8,1+IF(OFFSET(G167,-1,0)="",0,OFFSET(G167,-1,0)),IF(G$8&lt;$K167,IF(OFFSET(G167,-1,0)="","ERR",OFFSET(G167,-1,0)),""))</f>
        <v/>
      </c>
      <c r="H167" s="11">
        <f>IF($K167=H$8,1+IF(OFFSET(H167,-1,0)="",0,OFFSET(H167,-1,0)),IF(H$8&lt;$K167,IF(OFFSET(H167,-1,0)="","ERR",OFFSET(H167,-1,0)),""))</f>
        <v/>
      </c>
      <c r="I167" s="11">
        <f>IF($K167=I$8,1+IF(OFFSET(I167,-1,0)="",0,OFFSET(I167,-1,0)),IF(I$8&lt;$K167,IF(OFFSET(I167,-1,0)="","ERR",OFFSET(I167,-1,0)),""))</f>
        <v/>
      </c>
      <c r="J167" s="46">
        <f>_xlfn.TEXTJOIN(".",1,B167:I167)</f>
        <v/>
      </c>
      <c r="K167" s="46" t="inlineStr">
        <is>
          <t>Л7</t>
        </is>
      </c>
      <c r="L167" s="46" t="n"/>
      <c r="M167" s="47" t="inlineStr">
        <is>
          <t>Розетка компьютерная RJ-45, кат. 6, одинарная, внешняя, Dual IDC., WS-8P8C-Cat.6-1, Cabeus</t>
        </is>
      </c>
      <c r="N167" s="46" t="inlineStr">
        <is>
          <t>шт.</t>
        </is>
      </c>
      <c r="O167" s="94">
        <f>P167+Q167+S167+V167</f>
        <v/>
      </c>
      <c r="P167" s="46" t="n"/>
      <c r="Q167" s="46" t="n">
        <v>11</v>
      </c>
      <c r="R167" s="46" t="n">
        <v>11</v>
      </c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8" t="n"/>
      <c r="AB167" s="179" t="n"/>
      <c r="AC167" s="189" t="n"/>
      <c r="AD167" s="189">
        <f>SUM(AB167:AC167)</f>
        <v/>
      </c>
      <c r="AE167" s="189">
        <f>AB167*$O167</f>
        <v/>
      </c>
      <c r="AF167" s="189">
        <f>AC167*$O167</f>
        <v/>
      </c>
      <c r="AG167" s="189">
        <f>SUM(AE167:AF167)</f>
        <v/>
      </c>
      <c r="AH167" s="182" t="n"/>
    </row>
    <row r="168" outlineLevel="1">
      <c r="A168" s="18" t="inlineStr">
        <is>
          <t>О</t>
        </is>
      </c>
      <c r="B168" s="11">
        <f>IF($K168=B$8,1+IF(OFFSET(B168,-1,0)="",0,OFFSET(B168,-1,0)),IF(B$8&lt;$K168,IF(OFFSET(B168,-1,0)="","ERR",OFFSET(B168,-1,0)),""))</f>
        <v/>
      </c>
      <c r="C168" s="11">
        <f>IF($K168=C$8,1+IF(OFFSET(C168,-1,0)="",0,OFFSET(C168,-1,0)),IF(C$8&lt;$K168,IF(OFFSET(C168,-1,0)="","ERR",OFFSET(C168,-1,0)),""))</f>
        <v/>
      </c>
      <c r="D168" s="11">
        <f>IF($K168=D$8,1+IF(OFFSET(D168,-1,0)="",0,OFFSET(D168,-1,0)),IF(D$8&lt;$K168,IF(OFFSET(D168,-1,0)="","ERR",OFFSET(D168,-1,0)),""))</f>
        <v/>
      </c>
      <c r="E168" s="11">
        <f>IF($K168=E$8,1+IF(OFFSET(E168,-1,0)="",0,OFFSET(E168,-1,0)),IF(E$8&lt;$K168,IF(OFFSET(E168,-1,0)="","ERR",OFFSET(E168,-1,0)),""))</f>
        <v/>
      </c>
      <c r="F168" s="11">
        <f>IF($K168=F$8,1+IF(OFFSET(F168,-1,0)="",0,OFFSET(F168,-1,0)),IF(F$8&lt;$K168,IF(OFFSET(F168,-1,0)="","ERR",OFFSET(F168,-1,0)),""))</f>
        <v/>
      </c>
      <c r="G168" s="11">
        <f>IF($K168=G$8,1+IF(OFFSET(G168,-1,0)="",0,OFFSET(G168,-1,0)),IF(G$8&lt;$K168,IF(OFFSET(G168,-1,0)="","ERR",OFFSET(G168,-1,0)),""))</f>
        <v/>
      </c>
      <c r="H168" s="11">
        <f>IF($K168=H$8,1+IF(OFFSET(H168,-1,0)="",0,OFFSET(H168,-1,0)),IF(H$8&lt;$K168,IF(OFFSET(H168,-1,0)="","ERR",OFFSET(H168,-1,0)),""))</f>
        <v/>
      </c>
      <c r="I168" s="11">
        <f>IF($K168=I$8,1+IF(OFFSET(I168,-1,0)="",0,OFFSET(I168,-1,0)),IF(I$8&lt;$K168,IF(OFFSET(I168,-1,0)="","ERR",OFFSET(I168,-1,0)),""))</f>
        <v/>
      </c>
      <c r="J168" s="46">
        <f>_xlfn.TEXTJOIN(".",1,B168:I168)</f>
        <v/>
      </c>
      <c r="K168" s="46" t="inlineStr">
        <is>
          <t>Л7</t>
        </is>
      </c>
      <c r="L168" s="46" t="n"/>
      <c r="M168" s="64" t="inlineStr">
        <is>
          <t>Сопутствующие и прочие материалы*</t>
        </is>
      </c>
      <c r="N168" s="46" t="inlineStr">
        <is>
          <t>компл</t>
        </is>
      </c>
      <c r="O168" s="94">
        <f>P168+Q168+S168+V168</f>
        <v/>
      </c>
      <c r="P168" s="46" t="n"/>
      <c r="Q168" s="46" t="n">
        <v>1</v>
      </c>
      <c r="R168" s="46" t="n">
        <v>1</v>
      </c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8" t="n"/>
      <c r="AB168" s="179" t="n"/>
      <c r="AC168" s="189" t="n"/>
      <c r="AD168" s="189">
        <f>SUM(AB168:AC168)</f>
        <v/>
      </c>
      <c r="AE168" s="189">
        <f>AB168*$O168</f>
        <v/>
      </c>
      <c r="AF168" s="189">
        <f>AC168*$O168</f>
        <v/>
      </c>
      <c r="AG168" s="189">
        <f>SUM(AE168:AF168)</f>
        <v/>
      </c>
      <c r="AH168" s="182" t="n"/>
    </row>
    <row r="169" outlineLevel="1">
      <c r="A169" s="18" t="inlineStr">
        <is>
          <t>О</t>
        </is>
      </c>
      <c r="B169" s="11">
        <f>IF($K169=B$8,1+IF(OFFSET(B169,-1,0)="",0,OFFSET(B169,-1,0)),IF(B$8&lt;$K169,IF(OFFSET(B169,-1,0)="","ERR",OFFSET(B169,-1,0)),""))</f>
        <v/>
      </c>
      <c r="C169" s="11">
        <f>IF($K169=C$8,1+IF(OFFSET(C169,-1,0)="",0,OFFSET(C169,-1,0)),IF(C$8&lt;$K169,IF(OFFSET(C169,-1,0)="","ERR",OFFSET(C169,-1,0)),""))</f>
        <v/>
      </c>
      <c r="D169" s="11">
        <f>IF($K169=D$8,1+IF(OFFSET(D169,-1,0)="",0,OFFSET(D169,-1,0)),IF(D$8&lt;$K169,IF(OFFSET(D169,-1,0)="","ERR",OFFSET(D169,-1,0)),""))</f>
        <v/>
      </c>
      <c r="E169" s="11">
        <f>IF($K169=E$8,1+IF(OFFSET(E169,-1,0)="",0,OFFSET(E169,-1,0)),IF(E$8&lt;$K169,IF(OFFSET(E169,-1,0)="","ERR",OFFSET(E169,-1,0)),""))</f>
        <v/>
      </c>
      <c r="F169" s="11">
        <f>IF($K169=F$8,1+IF(OFFSET(F169,-1,0)="",0,OFFSET(F169,-1,0)),IF(F$8&lt;$K169,IF(OFFSET(F169,-1,0)="","ERR",OFFSET(F169,-1,0)),""))</f>
        <v/>
      </c>
      <c r="G169" s="11">
        <f>IF($K169=G$8,1+IF(OFFSET(G169,-1,0)="",0,OFFSET(G169,-1,0)),IF(G$8&lt;$K169,IF(OFFSET(G169,-1,0)="","ERR",OFFSET(G169,-1,0)),""))</f>
        <v/>
      </c>
      <c r="H169" s="11">
        <f>IF($K169=H$8,1+IF(OFFSET(H169,-1,0)="",0,OFFSET(H169,-1,0)),IF(H$8&lt;$K169,IF(OFFSET(H169,-1,0)="","ERR",OFFSET(H169,-1,0)),""))</f>
        <v/>
      </c>
      <c r="I169" s="11">
        <f>IF($K169=I$8,1+IF(OFFSET(I169,-1,0)="",0,OFFSET(I169,-1,0)),IF(I$8&lt;$K169,IF(OFFSET(I169,-1,0)="","ERR",OFFSET(I169,-1,0)),""))</f>
        <v/>
      </c>
      <c r="J169" s="46">
        <f>_xlfn.TEXTJOIN(".",1,B169:I169)</f>
        <v/>
      </c>
      <c r="K169" s="46" t="inlineStr">
        <is>
          <t>Л6</t>
        </is>
      </c>
      <c r="L169" s="46" t="inlineStr">
        <is>
          <t>3.3.3.7.1.2</t>
        </is>
      </c>
      <c r="M169" s="47" t="inlineStr">
        <is>
          <t>Монтаж телекоммуникационного шкафа/стойка (ТШ) навесного комплектного</t>
        </is>
      </c>
      <c r="N169" s="46" t="inlineStr">
        <is>
          <t>компл</t>
        </is>
      </c>
      <c r="O169" s="94">
        <f>P169+Q169+S169+V169</f>
        <v/>
      </c>
      <c r="P169" s="46" t="n"/>
      <c r="Q169" s="46" t="n"/>
      <c r="R169" s="46" t="n"/>
      <c r="S169" s="46" t="n">
        <v>1</v>
      </c>
      <c r="T169" s="46" t="n">
        <v>1</v>
      </c>
      <c r="U169" s="46" t="n"/>
      <c r="V169" s="46" t="n"/>
      <c r="W169" s="46" t="n"/>
      <c r="X169" s="46" t="n"/>
      <c r="Y169" s="46" t="n"/>
      <c r="Z169" s="46" t="n"/>
      <c r="AA169" s="48" t="inlineStr">
        <is>
          <t>ТШ СКС 2</t>
        </is>
      </c>
      <c r="AB169" s="187" t="n"/>
      <c r="AC169" s="180" t="n">
        <v>42000</v>
      </c>
      <c r="AD169" s="189">
        <f>SUM(AB169:AC169)</f>
        <v/>
      </c>
      <c r="AE169" s="189">
        <f>AB169*$O169</f>
        <v/>
      </c>
      <c r="AF169" s="189">
        <f>AC169*$O169</f>
        <v/>
      </c>
      <c r="AG169" s="189">
        <f>SUM(AE169:AF169)</f>
        <v/>
      </c>
      <c r="AH169" s="182" t="n"/>
    </row>
    <row r="170" outlineLevel="1" ht="25.5" customHeight="1">
      <c r="A170" s="18" t="inlineStr">
        <is>
          <t>О</t>
        </is>
      </c>
      <c r="B170" s="11">
        <f>IF($K170=B$8,1+IF(OFFSET(B170,-1,0)="",0,OFFSET(B170,-1,0)),IF(B$8&lt;$K170,IF(OFFSET(B170,-1,0)="","ERR",OFFSET(B170,-1,0)),""))</f>
        <v/>
      </c>
      <c r="C170" s="11">
        <f>IF($K170=C$8,1+IF(OFFSET(C170,-1,0)="",0,OFFSET(C170,-1,0)),IF(C$8&lt;$K170,IF(OFFSET(C170,-1,0)="","ERR",OFFSET(C170,-1,0)),""))</f>
        <v/>
      </c>
      <c r="D170" s="11">
        <f>IF($K170=D$8,1+IF(OFFSET(D170,-1,0)="",0,OFFSET(D170,-1,0)),IF(D$8&lt;$K170,IF(OFFSET(D170,-1,0)="","ERR",OFFSET(D170,-1,0)),""))</f>
        <v/>
      </c>
      <c r="E170" s="11">
        <f>IF($K170=E$8,1+IF(OFFSET(E170,-1,0)="",0,OFFSET(E170,-1,0)),IF(E$8&lt;$K170,IF(OFFSET(E170,-1,0)="","ERR",OFFSET(E170,-1,0)),""))</f>
        <v/>
      </c>
      <c r="F170" s="11">
        <f>IF($K170=F$8,1+IF(OFFSET(F170,-1,0)="",0,OFFSET(F170,-1,0)),IF(F$8&lt;$K170,IF(OFFSET(F170,-1,0)="","ERR",OFFSET(F170,-1,0)),""))</f>
        <v/>
      </c>
      <c r="G170" s="11">
        <f>IF($K170=G$8,1+IF(OFFSET(G170,-1,0)="",0,OFFSET(G170,-1,0)),IF(G$8&lt;$K170,IF(OFFSET(G170,-1,0)="","ERR",OFFSET(G170,-1,0)),""))</f>
        <v/>
      </c>
      <c r="H170" s="11">
        <f>IF($K170=H$8,1+IF(OFFSET(H170,-1,0)="",0,OFFSET(H170,-1,0)),IF(H$8&lt;$K170,IF(OFFSET(H170,-1,0)="","ERR",OFFSET(H170,-1,0)),""))</f>
        <v/>
      </c>
      <c r="I170" s="11">
        <f>IF($K170=I$8,1+IF(OFFSET(I170,-1,0)="",0,OFFSET(I170,-1,0)),IF(I$8&lt;$K170,IF(OFFSET(I170,-1,0)="","ERR",OFFSET(I170,-1,0)),""))</f>
        <v/>
      </c>
      <c r="J170" s="46">
        <f>_xlfn.TEXTJOIN(".",1,B170:I170)</f>
        <v/>
      </c>
      <c r="K170" s="46" t="inlineStr">
        <is>
          <t>Л7</t>
        </is>
      </c>
      <c r="L170" s="46" t="n"/>
      <c r="M170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70" s="46" t="inlineStr">
        <is>
          <t>шт.</t>
        </is>
      </c>
      <c r="O170" s="94">
        <f>P170+Q170+S170+V170</f>
        <v/>
      </c>
      <c r="P170" s="46" t="n"/>
      <c r="Q170" s="46" t="n"/>
      <c r="R170" s="46" t="n"/>
      <c r="S170" s="46" t="n">
        <v>1</v>
      </c>
      <c r="T170" s="46" t="n">
        <v>1</v>
      </c>
      <c r="U170" s="46" t="n"/>
      <c r="V170" s="46" t="n"/>
      <c r="W170" s="46" t="n"/>
      <c r="X170" s="46" t="n"/>
      <c r="Y170" s="46" t="n"/>
      <c r="Z170" s="46" t="n"/>
      <c r="AA170" s="48" t="n"/>
      <c r="AB170" s="179" t="n"/>
      <c r="AC170" s="189" t="n"/>
      <c r="AD170" s="189">
        <f>SUM(AB170:AC170)</f>
        <v/>
      </c>
      <c r="AE170" s="189">
        <f>AB170*$O170</f>
        <v/>
      </c>
      <c r="AF170" s="189">
        <f>AC170*$O170</f>
        <v/>
      </c>
      <c r="AG170" s="189">
        <f>SUM(AE170:AF170)</f>
        <v/>
      </c>
      <c r="AH170" s="182" t="n"/>
    </row>
    <row r="171" outlineLevel="1">
      <c r="A171" s="18" t="inlineStr">
        <is>
          <t>О</t>
        </is>
      </c>
      <c r="B171" s="11">
        <f>IF($K171=B$8,1+IF(OFFSET(B171,-1,0)="",0,OFFSET(B171,-1,0)),IF(B$8&lt;$K171,IF(OFFSET(B171,-1,0)="","ERR",OFFSET(B171,-1,0)),""))</f>
        <v/>
      </c>
      <c r="C171" s="11">
        <f>IF($K171=C$8,1+IF(OFFSET(C171,-1,0)="",0,OFFSET(C171,-1,0)),IF(C$8&lt;$K171,IF(OFFSET(C171,-1,0)="","ERR",OFFSET(C171,-1,0)),""))</f>
        <v/>
      </c>
      <c r="D171" s="11">
        <f>IF($K171=D$8,1+IF(OFFSET(D171,-1,0)="",0,OFFSET(D171,-1,0)),IF(D$8&lt;$K171,IF(OFFSET(D171,-1,0)="","ERR",OFFSET(D171,-1,0)),""))</f>
        <v/>
      </c>
      <c r="E171" s="11">
        <f>IF($K171=E$8,1+IF(OFFSET(E171,-1,0)="",0,OFFSET(E171,-1,0)),IF(E$8&lt;$K171,IF(OFFSET(E171,-1,0)="","ERR",OFFSET(E171,-1,0)),""))</f>
        <v/>
      </c>
      <c r="F171" s="11">
        <f>IF($K171=F$8,1+IF(OFFSET(F171,-1,0)="",0,OFFSET(F171,-1,0)),IF(F$8&lt;$K171,IF(OFFSET(F171,-1,0)="","ERR",OFFSET(F171,-1,0)),""))</f>
        <v/>
      </c>
      <c r="G171" s="11">
        <f>IF($K171=G$8,1+IF(OFFSET(G171,-1,0)="",0,OFFSET(G171,-1,0)),IF(G$8&lt;$K171,IF(OFFSET(G171,-1,0)="","ERR",OFFSET(G171,-1,0)),""))</f>
        <v/>
      </c>
      <c r="H171" s="11">
        <f>IF($K171=H$8,1+IF(OFFSET(H171,-1,0)="",0,OFFSET(H171,-1,0)),IF(H$8&lt;$K171,IF(OFFSET(H171,-1,0)="","ERR",OFFSET(H171,-1,0)),""))</f>
        <v/>
      </c>
      <c r="I171" s="11">
        <f>IF($K171=I$8,1+IF(OFFSET(I171,-1,0)="",0,OFFSET(I171,-1,0)),IF(I$8&lt;$K171,IF(OFFSET(I171,-1,0)="","ERR",OFFSET(I171,-1,0)),""))</f>
        <v/>
      </c>
      <c r="J171" s="46">
        <f>_xlfn.TEXTJOIN(".",1,B171:I171)</f>
        <v/>
      </c>
      <c r="K171" s="46" t="inlineStr">
        <is>
          <t>Л7</t>
        </is>
      </c>
      <c r="L171" s="46" t="n"/>
      <c r="M171" s="47" t="inlineStr">
        <is>
          <t>Модули вентиляторные потолочные, R-FAN-3T, ТМ «ЦМО»</t>
        </is>
      </c>
      <c r="N171" s="46" t="inlineStr">
        <is>
          <t>шт.</t>
        </is>
      </c>
      <c r="O171" s="94">
        <f>P171+Q171+S171+V171</f>
        <v/>
      </c>
      <c r="P171" s="46" t="n"/>
      <c r="Q171" s="46" t="n"/>
      <c r="R171" s="46" t="n"/>
      <c r="S171" s="46" t="n">
        <v>1</v>
      </c>
      <c r="T171" s="46" t="n">
        <v>1</v>
      </c>
      <c r="U171" s="46" t="n"/>
      <c r="V171" s="46" t="n"/>
      <c r="W171" s="46" t="n"/>
      <c r="X171" s="46" t="n"/>
      <c r="Y171" s="46" t="n"/>
      <c r="Z171" s="46" t="n"/>
      <c r="AA171" s="48" t="n"/>
      <c r="AB171" s="179" t="n"/>
      <c r="AC171" s="189" t="n"/>
      <c r="AD171" s="189">
        <f>SUM(AB171:AC171)</f>
        <v/>
      </c>
      <c r="AE171" s="189">
        <f>AB171*$O171</f>
        <v/>
      </c>
      <c r="AF171" s="189">
        <f>AC171*$O171</f>
        <v/>
      </c>
      <c r="AG171" s="189">
        <f>SUM(AE171:AF171)</f>
        <v/>
      </c>
      <c r="AH171" s="182" t="n"/>
    </row>
    <row r="172" outlineLevel="1">
      <c r="A172" s="18" t="inlineStr">
        <is>
          <t>О</t>
        </is>
      </c>
      <c r="B172" s="11">
        <f>IF($K172=B$8,1+IF(OFFSET(B172,-1,0)="",0,OFFSET(B172,-1,0)),IF(B$8&lt;$K172,IF(OFFSET(B172,-1,0)="","ERR",OFFSET(B172,-1,0)),""))</f>
        <v/>
      </c>
      <c r="C172" s="11">
        <f>IF($K172=C$8,1+IF(OFFSET(C172,-1,0)="",0,OFFSET(C172,-1,0)),IF(C$8&lt;$K172,IF(OFFSET(C172,-1,0)="","ERR",OFFSET(C172,-1,0)),""))</f>
        <v/>
      </c>
      <c r="D172" s="11">
        <f>IF($K172=D$8,1+IF(OFFSET(D172,-1,0)="",0,OFFSET(D172,-1,0)),IF(D$8&lt;$K172,IF(OFFSET(D172,-1,0)="","ERR",OFFSET(D172,-1,0)),""))</f>
        <v/>
      </c>
      <c r="E172" s="11">
        <f>IF($K172=E$8,1+IF(OFFSET(E172,-1,0)="",0,OFFSET(E172,-1,0)),IF(E$8&lt;$K172,IF(OFFSET(E172,-1,0)="","ERR",OFFSET(E172,-1,0)),""))</f>
        <v/>
      </c>
      <c r="F172" s="11">
        <f>IF($K172=F$8,1+IF(OFFSET(F172,-1,0)="",0,OFFSET(F172,-1,0)),IF(F$8&lt;$K172,IF(OFFSET(F172,-1,0)="","ERR",OFFSET(F172,-1,0)),""))</f>
        <v/>
      </c>
      <c r="G172" s="11">
        <f>IF($K172=G$8,1+IF(OFFSET(G172,-1,0)="",0,OFFSET(G172,-1,0)),IF(G$8&lt;$K172,IF(OFFSET(G172,-1,0)="","ERR",OFFSET(G172,-1,0)),""))</f>
        <v/>
      </c>
      <c r="H172" s="11">
        <f>IF($K172=H$8,1+IF(OFFSET(H172,-1,0)="",0,OFFSET(H172,-1,0)),IF(H$8&lt;$K172,IF(OFFSET(H172,-1,0)="","ERR",OFFSET(H172,-1,0)),""))</f>
        <v/>
      </c>
      <c r="I172" s="11">
        <f>IF($K172=I$8,1+IF(OFFSET(I172,-1,0)="",0,OFFSET(I172,-1,0)),IF(I$8&lt;$K172,IF(OFFSET(I172,-1,0)="","ERR",OFFSET(I172,-1,0)),""))</f>
        <v/>
      </c>
      <c r="J172" s="46">
        <f>_xlfn.TEXTJOIN(".",1,B172:I172)</f>
        <v/>
      </c>
      <c r="K172" s="46" t="inlineStr">
        <is>
          <t>Л7</t>
        </is>
      </c>
      <c r="L172" s="46" t="n"/>
      <c r="M172" s="47" t="inlineStr">
        <is>
          <t>Панель осветительная светодиодная, цвет черный, R-LED-220-B, ТМ «ЦМО»</t>
        </is>
      </c>
      <c r="N172" s="46" t="inlineStr">
        <is>
          <t>шт.</t>
        </is>
      </c>
      <c r="O172" s="94">
        <f>P172+Q172+S172+V172</f>
        <v/>
      </c>
      <c r="P172" s="46" t="n"/>
      <c r="Q172" s="46" t="n"/>
      <c r="R172" s="46" t="n"/>
      <c r="S172" s="46" t="n">
        <v>1</v>
      </c>
      <c r="T172" s="46" t="n">
        <v>1</v>
      </c>
      <c r="U172" s="46" t="n"/>
      <c r="V172" s="46" t="n"/>
      <c r="W172" s="46" t="n"/>
      <c r="X172" s="46" t="n"/>
      <c r="Y172" s="46" t="n"/>
      <c r="Z172" s="46" t="n"/>
      <c r="AA172" s="48" t="n"/>
      <c r="AB172" s="179" t="n"/>
      <c r="AC172" s="189" t="n"/>
      <c r="AD172" s="189">
        <f>SUM(AB172:AC172)</f>
        <v/>
      </c>
      <c r="AE172" s="189">
        <f>AB172*$O172</f>
        <v/>
      </c>
      <c r="AF172" s="189">
        <f>AC172*$O172</f>
        <v/>
      </c>
      <c r="AG172" s="189">
        <f>SUM(AE172:AF172)</f>
        <v/>
      </c>
      <c r="AH172" s="182" t="n"/>
    </row>
    <row r="173" outlineLevel="1" ht="25.5" customHeight="1">
      <c r="A173" s="18" t="inlineStr">
        <is>
          <t>О</t>
        </is>
      </c>
      <c r="B173" s="11">
        <f>IF($K173=B$8,1+IF(OFFSET(B173,-1,0)="",0,OFFSET(B173,-1,0)),IF(B$8&lt;$K173,IF(OFFSET(B173,-1,0)="","ERR",OFFSET(B173,-1,0)),""))</f>
        <v/>
      </c>
      <c r="C173" s="11">
        <f>IF($K173=C$8,1+IF(OFFSET(C173,-1,0)="",0,OFFSET(C173,-1,0)),IF(C$8&lt;$K173,IF(OFFSET(C173,-1,0)="","ERR",OFFSET(C173,-1,0)),""))</f>
        <v/>
      </c>
      <c r="D173" s="11">
        <f>IF($K173=D$8,1+IF(OFFSET(D173,-1,0)="",0,OFFSET(D173,-1,0)),IF(D$8&lt;$K173,IF(OFFSET(D173,-1,0)="","ERR",OFFSET(D173,-1,0)),""))</f>
        <v/>
      </c>
      <c r="E173" s="11">
        <f>IF($K173=E$8,1+IF(OFFSET(E173,-1,0)="",0,OFFSET(E173,-1,0)),IF(E$8&lt;$K173,IF(OFFSET(E173,-1,0)="","ERR",OFFSET(E173,-1,0)),""))</f>
        <v/>
      </c>
      <c r="F173" s="11">
        <f>IF($K173=F$8,1+IF(OFFSET(F173,-1,0)="",0,OFFSET(F173,-1,0)),IF(F$8&lt;$K173,IF(OFFSET(F173,-1,0)="","ERR",OFFSET(F173,-1,0)),""))</f>
        <v/>
      </c>
      <c r="G173" s="11">
        <f>IF($K173=G$8,1+IF(OFFSET(G173,-1,0)="",0,OFFSET(G173,-1,0)),IF(G$8&lt;$K173,IF(OFFSET(G173,-1,0)="","ERR",OFFSET(G173,-1,0)),""))</f>
        <v/>
      </c>
      <c r="H173" s="11">
        <f>IF($K173=H$8,1+IF(OFFSET(H173,-1,0)="",0,OFFSET(H173,-1,0)),IF(H$8&lt;$K173,IF(OFFSET(H173,-1,0)="","ERR",OFFSET(H173,-1,0)),""))</f>
        <v/>
      </c>
      <c r="I173" s="11">
        <f>IF($K173=I$8,1+IF(OFFSET(I173,-1,0)="",0,OFFSET(I173,-1,0)),IF(I$8&lt;$K173,IF(OFFSET(I173,-1,0)="","ERR",OFFSET(I173,-1,0)),""))</f>
        <v/>
      </c>
      <c r="J173" s="49">
        <f>_xlfn.TEXTJOIN(".",1,B173:I173)</f>
        <v/>
      </c>
      <c r="K173" s="49" t="inlineStr">
        <is>
          <t>Л7</t>
        </is>
      </c>
      <c r="L173" s="49" t="n"/>
      <c r="M173" s="63" t="inlineStr">
        <is>
          <t>L2 коммутатор с 24 портами PoE 100 Мбит/с и 2 портами combo Uplink 1000 Мбит/с RJ-45/SFP, LTV-3S24G4C-MP, LTV</t>
        </is>
      </c>
      <c r="N173" s="49" t="inlineStr">
        <is>
          <t>шт.</t>
        </is>
      </c>
      <c r="O173" s="50">
        <f>P173+Q173+S173+V173</f>
        <v/>
      </c>
      <c r="P173" s="49" t="n"/>
      <c r="Q173" s="49" t="n"/>
      <c r="R173" s="49" t="n"/>
      <c r="S173" s="49" t="n">
        <v>1</v>
      </c>
      <c r="T173" s="49" t="n">
        <v>1</v>
      </c>
      <c r="U173" s="49" t="n"/>
      <c r="V173" s="49" t="n"/>
      <c r="W173" s="50" t="n">
        <v>1</v>
      </c>
      <c r="X173" s="26" t="n">
        <v>5040070405</v>
      </c>
      <c r="Y173" s="26" t="n">
        <v>772201001</v>
      </c>
      <c r="Z173" s="26" t="inlineStr">
        <is>
          <t>ООО "ЛУИС+"</t>
        </is>
      </c>
      <c r="AA173" s="51" t="inlineStr">
        <is>
          <t>ГТ</t>
        </is>
      </c>
      <c r="AB173" s="188" t="n"/>
      <c r="AC173" s="189" t="n"/>
      <c r="AD173" s="190">
        <f>SUM(AB173:AC173)</f>
        <v/>
      </c>
      <c r="AE173" s="190">
        <f>AB173*$O173*$W173</f>
        <v/>
      </c>
      <c r="AF173" s="190">
        <f>AC173*$O173*$W173</f>
        <v/>
      </c>
      <c r="AG173" s="190">
        <f>SUM(AE173:AF173)</f>
        <v/>
      </c>
      <c r="AH173" s="182" t="n"/>
    </row>
    <row r="174" outlineLevel="1">
      <c r="A174" s="18" t="inlineStr">
        <is>
          <t>О</t>
        </is>
      </c>
      <c r="B174" s="11">
        <f>IF($K174=B$8,1+IF(OFFSET(B174,-1,0)="",0,OFFSET(B174,-1,0)),IF(B$8&lt;$K174,IF(OFFSET(B174,-1,0)="","ERR",OFFSET(B174,-1,0)),""))</f>
        <v/>
      </c>
      <c r="C174" s="11">
        <f>IF($K174=C$8,1+IF(OFFSET(C174,-1,0)="",0,OFFSET(C174,-1,0)),IF(C$8&lt;$K174,IF(OFFSET(C174,-1,0)="","ERR",OFFSET(C174,-1,0)),""))</f>
        <v/>
      </c>
      <c r="D174" s="11">
        <f>IF($K174=D$8,1+IF(OFFSET(D174,-1,0)="",0,OFFSET(D174,-1,0)),IF(D$8&lt;$K174,IF(OFFSET(D174,-1,0)="","ERR",OFFSET(D174,-1,0)),""))</f>
        <v/>
      </c>
      <c r="E174" s="11">
        <f>IF($K174=E$8,1+IF(OFFSET(E174,-1,0)="",0,OFFSET(E174,-1,0)),IF(E$8&lt;$K174,IF(OFFSET(E174,-1,0)="","ERR",OFFSET(E174,-1,0)),""))</f>
        <v/>
      </c>
      <c r="F174" s="11">
        <f>IF($K174=F$8,1+IF(OFFSET(F174,-1,0)="",0,OFFSET(F174,-1,0)),IF(F$8&lt;$K174,IF(OFFSET(F174,-1,0)="","ERR",OFFSET(F174,-1,0)),""))</f>
        <v/>
      </c>
      <c r="G174" s="11">
        <f>IF($K174=G$8,1+IF(OFFSET(G174,-1,0)="",0,OFFSET(G174,-1,0)),IF(G$8&lt;$K174,IF(OFFSET(G174,-1,0)="","ERR",OFFSET(G174,-1,0)),""))</f>
        <v/>
      </c>
      <c r="H174" s="11">
        <f>IF($K174=H$8,1+IF(OFFSET(H174,-1,0)="",0,OFFSET(H174,-1,0)),IF(H$8&lt;$K174,IF(OFFSET(H174,-1,0)="","ERR",OFFSET(H174,-1,0)),""))</f>
        <v/>
      </c>
      <c r="I174" s="11">
        <f>IF($K174=I$8,1+IF(OFFSET(I174,-1,0)="",0,OFFSET(I174,-1,0)),IF(I$8&lt;$K174,IF(OFFSET(I174,-1,0)="","ERR",OFFSET(I174,-1,0)),""))</f>
        <v/>
      </c>
      <c r="J174" s="46">
        <f>_xlfn.TEXTJOIN(".",1,B174:I174)</f>
        <v/>
      </c>
      <c r="K174" s="46" t="inlineStr">
        <is>
          <t>Л7</t>
        </is>
      </c>
      <c r="L174" s="46" t="n"/>
      <c r="M174" s="47" t="inlineStr">
        <is>
          <t>Источник бесперебойного питания «Штиль» STR1102SL, STR1102SL, Штиль</t>
        </is>
      </c>
      <c r="N174" s="46" t="inlineStr">
        <is>
          <t>шт.</t>
        </is>
      </c>
      <c r="O174" s="94">
        <f>P174+Q174+S174+V174</f>
        <v/>
      </c>
      <c r="P174" s="46" t="n"/>
      <c r="Q174" s="46" t="n"/>
      <c r="R174" s="46" t="n"/>
      <c r="S174" s="46" t="n">
        <v>1</v>
      </c>
      <c r="T174" s="46" t="n">
        <v>1</v>
      </c>
      <c r="U174" s="46" t="n"/>
      <c r="V174" s="46" t="n"/>
      <c r="W174" s="46" t="n"/>
      <c r="X174" s="46" t="n"/>
      <c r="Y174" s="46" t="n"/>
      <c r="Z174" s="46" t="n"/>
      <c r="AA174" s="48" t="n"/>
      <c r="AB174" s="179" t="n"/>
      <c r="AC174" s="189" t="n"/>
      <c r="AD174" s="189">
        <f>SUM(AB174:AC174)</f>
        <v/>
      </c>
      <c r="AE174" s="189">
        <f>AB174*$O174</f>
        <v/>
      </c>
      <c r="AF174" s="189">
        <f>AC174*$O174</f>
        <v/>
      </c>
      <c r="AG174" s="189">
        <f>SUM(AE174:AF174)</f>
        <v/>
      </c>
      <c r="AH174" s="182" t="n"/>
    </row>
    <row r="175" outlineLevel="1">
      <c r="A175" s="18" t="inlineStr">
        <is>
          <t>О</t>
        </is>
      </c>
      <c r="B175" s="11">
        <f>IF($K175=B$8,1+IF(OFFSET(B175,-1,0)="",0,OFFSET(B175,-1,0)),IF(B$8&lt;$K175,IF(OFFSET(B175,-1,0)="","ERR",OFFSET(B175,-1,0)),""))</f>
        <v/>
      </c>
      <c r="C175" s="11">
        <f>IF($K175=C$8,1+IF(OFFSET(C175,-1,0)="",0,OFFSET(C175,-1,0)),IF(C$8&lt;$K175,IF(OFFSET(C175,-1,0)="","ERR",OFFSET(C175,-1,0)),""))</f>
        <v/>
      </c>
      <c r="D175" s="11">
        <f>IF($K175=D$8,1+IF(OFFSET(D175,-1,0)="",0,OFFSET(D175,-1,0)),IF(D$8&lt;$K175,IF(OFFSET(D175,-1,0)="","ERR",OFFSET(D175,-1,0)),""))</f>
        <v/>
      </c>
      <c r="E175" s="11">
        <f>IF($K175=E$8,1+IF(OFFSET(E175,-1,0)="",0,OFFSET(E175,-1,0)),IF(E$8&lt;$K175,IF(OFFSET(E175,-1,0)="","ERR",OFFSET(E175,-1,0)),""))</f>
        <v/>
      </c>
      <c r="F175" s="11">
        <f>IF($K175=F$8,1+IF(OFFSET(F175,-1,0)="",0,OFFSET(F175,-1,0)),IF(F$8&lt;$K175,IF(OFFSET(F175,-1,0)="","ERR",OFFSET(F175,-1,0)),""))</f>
        <v/>
      </c>
      <c r="G175" s="11">
        <f>IF($K175=G$8,1+IF(OFFSET(G175,-1,0)="",0,OFFSET(G175,-1,0)),IF(G$8&lt;$K175,IF(OFFSET(G175,-1,0)="","ERR",OFFSET(G175,-1,0)),""))</f>
        <v/>
      </c>
      <c r="H175" s="11">
        <f>IF($K175=H$8,1+IF(OFFSET(H175,-1,0)="",0,OFFSET(H175,-1,0)),IF(H$8&lt;$K175,IF(OFFSET(H175,-1,0)="","ERR",OFFSET(H175,-1,0)),""))</f>
        <v/>
      </c>
      <c r="I175" s="11">
        <f>IF($K175=I$8,1+IF(OFFSET(I175,-1,0)="",0,OFFSET(I175,-1,0)),IF(I$8&lt;$K175,IF(OFFSET(I175,-1,0)="","ERR",OFFSET(I175,-1,0)),""))</f>
        <v/>
      </c>
      <c r="J175" s="46">
        <f>_xlfn.TEXTJOIN(".",1,B175:I175)</f>
        <v/>
      </c>
      <c r="K175" s="46" t="inlineStr">
        <is>
          <t>Л7</t>
        </is>
      </c>
      <c r="L175" s="46" t="n"/>
      <c r="M175" s="47" t="inlineStr">
        <is>
          <t>Карта мониторинга IC-SNMP/WEB, IC-SNMP/WEB, Штиль</t>
        </is>
      </c>
      <c r="N175" s="46" t="inlineStr">
        <is>
          <t>шт.</t>
        </is>
      </c>
      <c r="O175" s="94">
        <f>P175+Q175+S175+V175</f>
        <v/>
      </c>
      <c r="P175" s="46" t="n"/>
      <c r="Q175" s="46" t="n"/>
      <c r="R175" s="46" t="n"/>
      <c r="S175" s="46" t="n">
        <v>1</v>
      </c>
      <c r="T175" s="46" t="n">
        <v>1</v>
      </c>
      <c r="U175" s="46" t="n"/>
      <c r="V175" s="46" t="n"/>
      <c r="W175" s="46" t="n"/>
      <c r="X175" s="46" t="n"/>
      <c r="Y175" s="46" t="n"/>
      <c r="Z175" s="46" t="n"/>
      <c r="AA175" s="48" t="n"/>
      <c r="AB175" s="179" t="n"/>
      <c r="AC175" s="189" t="n"/>
      <c r="AD175" s="189">
        <f>SUM(AB175:AC175)</f>
        <v/>
      </c>
      <c r="AE175" s="189">
        <f>AB175*$O175</f>
        <v/>
      </c>
      <c r="AF175" s="189">
        <f>AC175*$O175</f>
        <v/>
      </c>
      <c r="AG175" s="189">
        <f>SUM(AE175:AF175)</f>
        <v/>
      </c>
      <c r="AH175" s="182" t="n"/>
    </row>
    <row r="176" outlineLevel="1">
      <c r="A176" s="18" t="inlineStr">
        <is>
          <t>О</t>
        </is>
      </c>
      <c r="B176" s="11">
        <f>IF($K176=B$8,1+IF(OFFSET(B176,-1,0)="",0,OFFSET(B176,-1,0)),IF(B$8&lt;$K176,IF(OFFSET(B176,-1,0)="","ERR",OFFSET(B176,-1,0)),""))</f>
        <v/>
      </c>
      <c r="C176" s="11">
        <f>IF($K176=C$8,1+IF(OFFSET(C176,-1,0)="",0,OFFSET(C176,-1,0)),IF(C$8&lt;$K176,IF(OFFSET(C176,-1,0)="","ERR",OFFSET(C176,-1,0)),""))</f>
        <v/>
      </c>
      <c r="D176" s="11">
        <f>IF($K176=D$8,1+IF(OFFSET(D176,-1,0)="",0,OFFSET(D176,-1,0)),IF(D$8&lt;$K176,IF(OFFSET(D176,-1,0)="","ERR",OFFSET(D176,-1,0)),""))</f>
        <v/>
      </c>
      <c r="E176" s="11">
        <f>IF($K176=E$8,1+IF(OFFSET(E176,-1,0)="",0,OFFSET(E176,-1,0)),IF(E$8&lt;$K176,IF(OFFSET(E176,-1,0)="","ERR",OFFSET(E176,-1,0)),""))</f>
        <v/>
      </c>
      <c r="F176" s="11">
        <f>IF($K176=F$8,1+IF(OFFSET(F176,-1,0)="",0,OFFSET(F176,-1,0)),IF(F$8&lt;$K176,IF(OFFSET(F176,-1,0)="","ERR",OFFSET(F176,-1,0)),""))</f>
        <v/>
      </c>
      <c r="G176" s="11">
        <f>IF($K176=G$8,1+IF(OFFSET(G176,-1,0)="",0,OFFSET(G176,-1,0)),IF(G$8&lt;$K176,IF(OFFSET(G176,-1,0)="","ERR",OFFSET(G176,-1,0)),""))</f>
        <v/>
      </c>
      <c r="H176" s="11">
        <f>IF($K176=H$8,1+IF(OFFSET(H176,-1,0)="",0,OFFSET(H176,-1,0)),IF(H$8&lt;$K176,IF(OFFSET(H176,-1,0)="","ERR",OFFSET(H176,-1,0)),""))</f>
        <v/>
      </c>
      <c r="I176" s="11">
        <f>IF($K176=I$8,1+IF(OFFSET(I176,-1,0)="",0,OFFSET(I176,-1,0)),IF(I$8&lt;$K176,IF(OFFSET(I176,-1,0)="","ERR",OFFSET(I176,-1,0)),""))</f>
        <v/>
      </c>
      <c r="J176" s="49">
        <f>_xlfn.TEXTJOIN(".",1,B176:I176)</f>
        <v/>
      </c>
      <c r="K176" s="49" t="inlineStr">
        <is>
          <t>Л7</t>
        </is>
      </c>
      <c r="L176" s="49" t="n"/>
      <c r="M176" s="55" t="inlineStr">
        <is>
          <t>SFP-трансивер с 1 портом 1 Гбит/с, для одномодового оптического кабеля, LTV-SFP-1G-LC20, LTV</t>
        </is>
      </c>
      <c r="N176" s="49" t="inlineStr">
        <is>
          <t>шт.</t>
        </is>
      </c>
      <c r="O176" s="50">
        <f>P176+Q176+S176+V176</f>
        <v/>
      </c>
      <c r="P176" s="49" t="n"/>
      <c r="Q176" s="49" t="n"/>
      <c r="R176" s="49" t="n"/>
      <c r="S176" s="49" t="n">
        <v>2</v>
      </c>
      <c r="T176" s="49" t="n">
        <v>2</v>
      </c>
      <c r="U176" s="49" t="n"/>
      <c r="V176" s="49" t="n"/>
      <c r="W176" s="50" t="n">
        <v>1</v>
      </c>
      <c r="X176" s="26" t="n">
        <v>5040070405</v>
      </c>
      <c r="Y176" s="26" t="n">
        <v>772201001</v>
      </c>
      <c r="Z176" s="26" t="inlineStr">
        <is>
          <t>ООО "ЛУИС+"</t>
        </is>
      </c>
      <c r="AA176" s="51" t="inlineStr">
        <is>
          <t>ГТ</t>
        </is>
      </c>
      <c r="AB176" s="188" t="n"/>
      <c r="AC176" s="189" t="n"/>
      <c r="AD176" s="190">
        <f>SUM(AB176:AC176)</f>
        <v/>
      </c>
      <c r="AE176" s="190">
        <f>AB176*$O176*$W176</f>
        <v/>
      </c>
      <c r="AF176" s="190">
        <f>AC176*$O176*$W176</f>
        <v/>
      </c>
      <c r="AG176" s="190">
        <f>SUM(AE176:AF176)</f>
        <v/>
      </c>
      <c r="AH176" s="182" t="n"/>
    </row>
    <row r="177" outlineLevel="1" ht="25.5" customHeight="1">
      <c r="A177" s="18" t="inlineStr">
        <is>
          <t>О</t>
        </is>
      </c>
      <c r="B177" s="11">
        <f>IF($K177=B$8,1+IF(OFFSET(B177,-1,0)="",0,OFFSET(B177,-1,0)),IF(B$8&lt;$K177,IF(OFFSET(B177,-1,0)="","ERR",OFFSET(B177,-1,0)),""))</f>
        <v/>
      </c>
      <c r="C177" s="11">
        <f>IF($K177=C$8,1+IF(OFFSET(C177,-1,0)="",0,OFFSET(C177,-1,0)),IF(C$8&lt;$K177,IF(OFFSET(C177,-1,0)="","ERR",OFFSET(C177,-1,0)),""))</f>
        <v/>
      </c>
      <c r="D177" s="11">
        <f>IF($K177=D$8,1+IF(OFFSET(D177,-1,0)="",0,OFFSET(D177,-1,0)),IF(D$8&lt;$K177,IF(OFFSET(D177,-1,0)="","ERR",OFFSET(D177,-1,0)),""))</f>
        <v/>
      </c>
      <c r="E177" s="11">
        <f>IF($K177=E$8,1+IF(OFFSET(E177,-1,0)="",0,OFFSET(E177,-1,0)),IF(E$8&lt;$K177,IF(OFFSET(E177,-1,0)="","ERR",OFFSET(E177,-1,0)),""))</f>
        <v/>
      </c>
      <c r="F177" s="11">
        <f>IF($K177=F$8,1+IF(OFFSET(F177,-1,0)="",0,OFFSET(F177,-1,0)),IF(F$8&lt;$K177,IF(OFFSET(F177,-1,0)="","ERR",OFFSET(F177,-1,0)),""))</f>
        <v/>
      </c>
      <c r="G177" s="11">
        <f>IF($K177=G$8,1+IF(OFFSET(G177,-1,0)="",0,OFFSET(G177,-1,0)),IF(G$8&lt;$K177,IF(OFFSET(G177,-1,0)="","ERR",OFFSET(G177,-1,0)),""))</f>
        <v/>
      </c>
      <c r="H177" s="11">
        <f>IF($K177=H$8,1+IF(OFFSET(H177,-1,0)="",0,OFFSET(H177,-1,0)),IF(H$8&lt;$K177,IF(OFFSET(H177,-1,0)="","ERR",OFFSET(H177,-1,0)),""))</f>
        <v/>
      </c>
      <c r="I177" s="11">
        <f>IF($K177=I$8,1+IF(OFFSET(I177,-1,0)="",0,OFFSET(I177,-1,0)),IF(I$8&lt;$K177,IF(OFFSET(I177,-1,0)="","ERR",OFFSET(I177,-1,0)),""))</f>
        <v/>
      </c>
      <c r="J177" s="46">
        <f>_xlfn.TEXTJOIN(".",1,B177:I177)</f>
        <v/>
      </c>
      <c r="K177" s="46" t="inlineStr">
        <is>
          <t>Л7</t>
        </is>
      </c>
      <c r="L177" s="46" t="n"/>
      <c r="M177" s="47" t="inlineStr">
        <is>
          <t>Патч-корд U/UTP, категория 6, 2xRJ45/8p8c, неэкранированный, серый, LSZH, 0.3м, Cabeus PC-UTP-RJ45- Cat.6-0.3m-LSZH, 8875c, Cabeus</t>
        </is>
      </c>
      <c r="N177" s="46" t="inlineStr">
        <is>
          <t>шт.</t>
        </is>
      </c>
      <c r="O177" s="94">
        <f>P177+Q177+S177+V177</f>
        <v/>
      </c>
      <c r="P177" s="46" t="n"/>
      <c r="Q177" s="46" t="n"/>
      <c r="R177" s="46" t="n"/>
      <c r="S177" s="46" t="n">
        <v>7</v>
      </c>
      <c r="T177" s="46" t="n">
        <v>7</v>
      </c>
      <c r="U177" s="46" t="n"/>
      <c r="V177" s="46" t="n"/>
      <c r="W177" s="46" t="n"/>
      <c r="X177" s="46" t="n"/>
      <c r="Y177" s="46" t="n"/>
      <c r="Z177" s="46" t="n"/>
      <c r="AA177" s="48" t="n"/>
      <c r="AB177" s="179" t="n"/>
      <c r="AC177" s="189" t="n"/>
      <c r="AD177" s="189">
        <f>SUM(AB177:AC177)</f>
        <v/>
      </c>
      <c r="AE177" s="189">
        <f>AB177*$O177</f>
        <v/>
      </c>
      <c r="AF177" s="189">
        <f>AC177*$O177</f>
        <v/>
      </c>
      <c r="AG177" s="189">
        <f>SUM(AE177:AF177)</f>
        <v/>
      </c>
      <c r="AH177" s="182" t="n"/>
    </row>
    <row r="178" outlineLevel="1">
      <c r="A178" s="18" t="inlineStr">
        <is>
          <t>О</t>
        </is>
      </c>
      <c r="B178" s="11">
        <f>IF($K178=B$8,1+IF(OFFSET(B178,-1,0)="",0,OFFSET(B178,-1,0)),IF(B$8&lt;$K178,IF(OFFSET(B178,-1,0)="","ERR",OFFSET(B178,-1,0)),""))</f>
        <v/>
      </c>
      <c r="C178" s="11">
        <f>IF($K178=C$8,1+IF(OFFSET(C178,-1,0)="",0,OFFSET(C178,-1,0)),IF(C$8&lt;$K178,IF(OFFSET(C178,-1,0)="","ERR",OFFSET(C178,-1,0)),""))</f>
        <v/>
      </c>
      <c r="D178" s="11">
        <f>IF($K178=D$8,1+IF(OFFSET(D178,-1,0)="",0,OFFSET(D178,-1,0)),IF(D$8&lt;$K178,IF(OFFSET(D178,-1,0)="","ERR",OFFSET(D178,-1,0)),""))</f>
        <v/>
      </c>
      <c r="E178" s="11">
        <f>IF($K178=E$8,1+IF(OFFSET(E178,-1,0)="",0,OFFSET(E178,-1,0)),IF(E$8&lt;$K178,IF(OFFSET(E178,-1,0)="","ERR",OFFSET(E178,-1,0)),""))</f>
        <v/>
      </c>
      <c r="F178" s="11">
        <f>IF($K178=F$8,1+IF(OFFSET(F178,-1,0)="",0,OFFSET(F178,-1,0)),IF(F$8&lt;$K178,IF(OFFSET(F178,-1,0)="","ERR",OFFSET(F178,-1,0)),""))</f>
        <v/>
      </c>
      <c r="G178" s="11">
        <f>IF($K178=G$8,1+IF(OFFSET(G178,-1,0)="",0,OFFSET(G178,-1,0)),IF(G$8&lt;$K178,IF(OFFSET(G178,-1,0)="","ERR",OFFSET(G178,-1,0)),""))</f>
        <v/>
      </c>
      <c r="H178" s="11">
        <f>IF($K178=H$8,1+IF(OFFSET(H178,-1,0)="",0,OFFSET(H178,-1,0)),IF(H$8&lt;$K178,IF(OFFSET(H178,-1,0)="","ERR",OFFSET(H178,-1,0)),""))</f>
        <v/>
      </c>
      <c r="I178" s="11">
        <f>IF($K178=I$8,1+IF(OFFSET(I178,-1,0)="",0,OFFSET(I178,-1,0)),IF(I$8&lt;$K178,IF(OFFSET(I178,-1,0)="","ERR",OFFSET(I178,-1,0)),""))</f>
        <v/>
      </c>
      <c r="J178" s="46">
        <f>_xlfn.TEXTJOIN(".",1,B178:I178)</f>
        <v/>
      </c>
      <c r="K178" s="46" t="inlineStr">
        <is>
          <t>Л7</t>
        </is>
      </c>
      <c r="L178" s="46" t="n"/>
      <c r="M178" s="47" t="inlineStr">
        <is>
          <t>Патч-панель 19" (1U), 24 порта RJ-45, категория 6, DUAL, PL-24-Cat.6-Dual, Cabeus</t>
        </is>
      </c>
      <c r="N178" s="46" t="inlineStr">
        <is>
          <t>шт.</t>
        </is>
      </c>
      <c r="O178" s="94">
        <f>P178+Q178+S178+V178</f>
        <v/>
      </c>
      <c r="P178" s="46" t="n"/>
      <c r="Q178" s="46" t="n"/>
      <c r="R178" s="46" t="n"/>
      <c r="S178" s="46" t="n">
        <v>1</v>
      </c>
      <c r="T178" s="46" t="n">
        <v>1</v>
      </c>
      <c r="U178" s="46" t="n"/>
      <c r="V178" s="46" t="n"/>
      <c r="W178" s="46" t="n"/>
      <c r="X178" s="46" t="n"/>
      <c r="Y178" s="46" t="n"/>
      <c r="Z178" s="46" t="n"/>
      <c r="AA178" s="48" t="n"/>
      <c r="AB178" s="179" t="n"/>
      <c r="AC178" s="189" t="n"/>
      <c r="AD178" s="189">
        <f>SUM(AB178:AC178)</f>
        <v/>
      </c>
      <c r="AE178" s="189">
        <f>AB178*$O178</f>
        <v/>
      </c>
      <c r="AF178" s="189">
        <f>AC178*$O178</f>
        <v/>
      </c>
      <c r="AG178" s="189">
        <f>SUM(AE178:AF178)</f>
        <v/>
      </c>
      <c r="AH178" s="182" t="n"/>
    </row>
    <row r="179" outlineLevel="1">
      <c r="A179" s="18" t="inlineStr">
        <is>
          <t>О</t>
        </is>
      </c>
      <c r="B179" s="11">
        <f>IF($K179=B$8,1+IF(OFFSET(B179,-1,0)="",0,OFFSET(B179,-1,0)),IF(B$8&lt;$K179,IF(OFFSET(B179,-1,0)="","ERR",OFFSET(B179,-1,0)),""))</f>
        <v/>
      </c>
      <c r="C179" s="11">
        <f>IF($K179=C$8,1+IF(OFFSET(C179,-1,0)="",0,OFFSET(C179,-1,0)),IF(C$8&lt;$K179,IF(OFFSET(C179,-1,0)="","ERR",OFFSET(C179,-1,0)),""))</f>
        <v/>
      </c>
      <c r="D179" s="11">
        <f>IF($K179=D$8,1+IF(OFFSET(D179,-1,0)="",0,OFFSET(D179,-1,0)),IF(D$8&lt;$K179,IF(OFFSET(D179,-1,0)="","ERR",OFFSET(D179,-1,0)),""))</f>
        <v/>
      </c>
      <c r="E179" s="11">
        <f>IF($K179=E$8,1+IF(OFFSET(E179,-1,0)="",0,OFFSET(E179,-1,0)),IF(E$8&lt;$K179,IF(OFFSET(E179,-1,0)="","ERR",OFFSET(E179,-1,0)),""))</f>
        <v/>
      </c>
      <c r="F179" s="11">
        <f>IF($K179=F$8,1+IF(OFFSET(F179,-1,0)="",0,OFFSET(F179,-1,0)),IF(F$8&lt;$K179,IF(OFFSET(F179,-1,0)="","ERR",OFFSET(F179,-1,0)),""))</f>
        <v/>
      </c>
      <c r="G179" s="11">
        <f>IF($K179=G$8,1+IF(OFFSET(G179,-1,0)="",0,OFFSET(G179,-1,0)),IF(G$8&lt;$K179,IF(OFFSET(G179,-1,0)="","ERR",OFFSET(G179,-1,0)),""))</f>
        <v/>
      </c>
      <c r="H179" s="11">
        <f>IF($K179=H$8,1+IF(OFFSET(H179,-1,0)="",0,OFFSET(H179,-1,0)),IF(H$8&lt;$K179,IF(OFFSET(H179,-1,0)="","ERR",OFFSET(H179,-1,0)),""))</f>
        <v/>
      </c>
      <c r="I179" s="11">
        <f>IF($K179=I$8,1+IF(OFFSET(I179,-1,0)="",0,OFFSET(I179,-1,0)),IF(I$8&lt;$K179,IF(OFFSET(I179,-1,0)="","ERR",OFFSET(I179,-1,0)),""))</f>
        <v/>
      </c>
      <c r="J179" s="46">
        <f>_xlfn.TEXTJOIN(".",1,B179:I179)</f>
        <v/>
      </c>
      <c r="K179" s="46" t="inlineStr">
        <is>
          <t>Л7</t>
        </is>
      </c>
      <c r="L179" s="46" t="n"/>
      <c r="M179" s="47" t="inlineStr">
        <is>
          <t>Кабельный органайзер 19" 1U, ГКО-4.62-9005, ТМ «ЦМО»</t>
        </is>
      </c>
      <c r="N179" s="46" t="inlineStr">
        <is>
          <t>шт.</t>
        </is>
      </c>
      <c r="O179" s="94">
        <f>P179+Q179+S179+V179</f>
        <v/>
      </c>
      <c r="P179" s="46" t="n"/>
      <c r="Q179" s="46" t="n"/>
      <c r="R179" s="46" t="n"/>
      <c r="S179" s="46" t="n">
        <v>2</v>
      </c>
      <c r="T179" s="46" t="n">
        <v>2</v>
      </c>
      <c r="U179" s="46" t="n"/>
      <c r="V179" s="46" t="n"/>
      <c r="W179" s="46" t="n"/>
      <c r="X179" s="46" t="n"/>
      <c r="Y179" s="46" t="n"/>
      <c r="Z179" s="46" t="n"/>
      <c r="AA179" s="48" t="n"/>
      <c r="AB179" s="179" t="n"/>
      <c r="AC179" s="189" t="n"/>
      <c r="AD179" s="189">
        <f>SUM(AB179:AC179)</f>
        <v/>
      </c>
      <c r="AE179" s="189">
        <f>AB179*$O179</f>
        <v/>
      </c>
      <c r="AF179" s="189">
        <f>AC179*$O179</f>
        <v/>
      </c>
      <c r="AG179" s="189">
        <f>SUM(AE179:AF179)</f>
        <v/>
      </c>
      <c r="AH179" s="182" t="n"/>
    </row>
    <row r="180" outlineLevel="1">
      <c r="A180" s="18" t="inlineStr">
        <is>
          <t>О</t>
        </is>
      </c>
      <c r="B180" s="11">
        <f>IF($K180=B$8,1+IF(OFFSET(B180,-1,0)="",0,OFFSET(B180,-1,0)),IF(B$8&lt;$K180,IF(OFFSET(B180,-1,0)="","ERR",OFFSET(B180,-1,0)),""))</f>
        <v/>
      </c>
      <c r="C180" s="11">
        <f>IF($K180=C$8,1+IF(OFFSET(C180,-1,0)="",0,OFFSET(C180,-1,0)),IF(C$8&lt;$K180,IF(OFFSET(C180,-1,0)="","ERR",OFFSET(C180,-1,0)),""))</f>
        <v/>
      </c>
      <c r="D180" s="11">
        <f>IF($K180=D$8,1+IF(OFFSET(D180,-1,0)="",0,OFFSET(D180,-1,0)),IF(D$8&lt;$K180,IF(OFFSET(D180,-1,0)="","ERR",OFFSET(D180,-1,0)),""))</f>
        <v/>
      </c>
      <c r="E180" s="11">
        <f>IF($K180=E$8,1+IF(OFFSET(E180,-1,0)="",0,OFFSET(E180,-1,0)),IF(E$8&lt;$K180,IF(OFFSET(E180,-1,0)="","ERR",OFFSET(E180,-1,0)),""))</f>
        <v/>
      </c>
      <c r="F180" s="11">
        <f>IF($K180=F$8,1+IF(OFFSET(F180,-1,0)="",0,OFFSET(F180,-1,0)),IF(F$8&lt;$K180,IF(OFFSET(F180,-1,0)="","ERR",OFFSET(F180,-1,0)),""))</f>
        <v/>
      </c>
      <c r="G180" s="11">
        <f>IF($K180=G$8,1+IF(OFFSET(G180,-1,0)="",0,OFFSET(G180,-1,0)),IF(G$8&lt;$K180,IF(OFFSET(G180,-1,0)="","ERR",OFFSET(G180,-1,0)),""))</f>
        <v/>
      </c>
      <c r="H180" s="11">
        <f>IF($K180=H$8,1+IF(OFFSET(H180,-1,0)="",0,OFFSET(H180,-1,0)),IF(H$8&lt;$K180,IF(OFFSET(H180,-1,0)="","ERR",OFFSET(H180,-1,0)),""))</f>
        <v/>
      </c>
      <c r="I180" s="11">
        <f>IF($K180=I$8,1+IF(OFFSET(I180,-1,0)="",0,OFFSET(I180,-1,0)),IF(I$8&lt;$K180,IF(OFFSET(I180,-1,0)="","ERR",OFFSET(I180,-1,0)),""))</f>
        <v/>
      </c>
      <c r="J180" s="46">
        <f>_xlfn.TEXTJOIN(".",1,B180:I180)</f>
        <v/>
      </c>
      <c r="K180" s="46" t="inlineStr">
        <is>
          <t>Л7</t>
        </is>
      </c>
      <c r="L180" s="46" t="n"/>
      <c r="M180" s="47" t="inlineStr">
        <is>
          <t>Комплект для монтажа в стойку ИБП Штиль, 1060905, Штиль</t>
        </is>
      </c>
      <c r="N180" s="46" t="inlineStr">
        <is>
          <t>шт.</t>
        </is>
      </c>
      <c r="O180" s="94">
        <f>P180+Q180+S180+V180</f>
        <v/>
      </c>
      <c r="P180" s="46" t="n"/>
      <c r="Q180" s="46" t="n"/>
      <c r="R180" s="46" t="n"/>
      <c r="S180" s="46" t="n">
        <v>1</v>
      </c>
      <c r="T180" s="46" t="n">
        <v>1</v>
      </c>
      <c r="U180" s="46" t="n"/>
      <c r="V180" s="46" t="n"/>
      <c r="W180" s="46" t="n"/>
      <c r="X180" s="46" t="n"/>
      <c r="Y180" s="46" t="n"/>
      <c r="Z180" s="46" t="n"/>
      <c r="AA180" s="48" t="n"/>
      <c r="AB180" s="179" t="n"/>
      <c r="AC180" s="189" t="n"/>
      <c r="AD180" s="189">
        <f>SUM(AB180:AC180)</f>
        <v/>
      </c>
      <c r="AE180" s="189">
        <f>AB180*$O180</f>
        <v/>
      </c>
      <c r="AF180" s="189">
        <f>AC180*$O180</f>
        <v/>
      </c>
      <c r="AG180" s="189">
        <f>SUM(AE180:AF180)</f>
        <v/>
      </c>
      <c r="AH180" s="182" t="n"/>
    </row>
    <row r="181" outlineLevel="1" ht="25.5" customHeight="1">
      <c r="A181" s="18" t="inlineStr">
        <is>
          <t>О</t>
        </is>
      </c>
      <c r="B181" s="11">
        <f>IF($K181=B$8,1+IF(OFFSET(B181,-1,0)="",0,OFFSET(B181,-1,0)),IF(B$8&lt;$K181,IF(OFFSET(B181,-1,0)="","ERR",OFFSET(B181,-1,0)),""))</f>
        <v/>
      </c>
      <c r="C181" s="11">
        <f>IF($K181=C$8,1+IF(OFFSET(C181,-1,0)="",0,OFFSET(C181,-1,0)),IF(C$8&lt;$K181,IF(OFFSET(C181,-1,0)="","ERR",OFFSET(C181,-1,0)),""))</f>
        <v/>
      </c>
      <c r="D181" s="11">
        <f>IF($K181=D$8,1+IF(OFFSET(D181,-1,0)="",0,OFFSET(D181,-1,0)),IF(D$8&lt;$K181,IF(OFFSET(D181,-1,0)="","ERR",OFFSET(D181,-1,0)),""))</f>
        <v/>
      </c>
      <c r="E181" s="11">
        <f>IF($K181=E$8,1+IF(OFFSET(E181,-1,0)="",0,OFFSET(E181,-1,0)),IF(E$8&lt;$K181,IF(OFFSET(E181,-1,0)="","ERR",OFFSET(E181,-1,0)),""))</f>
        <v/>
      </c>
      <c r="F181" s="11">
        <f>IF($K181=F$8,1+IF(OFFSET(F181,-1,0)="",0,OFFSET(F181,-1,0)),IF(F$8&lt;$K181,IF(OFFSET(F181,-1,0)="","ERR",OFFSET(F181,-1,0)),""))</f>
        <v/>
      </c>
      <c r="G181" s="11">
        <f>IF($K181=G$8,1+IF(OFFSET(G181,-1,0)="",0,OFFSET(G181,-1,0)),IF(G$8&lt;$K181,IF(OFFSET(G181,-1,0)="","ERR",OFFSET(G181,-1,0)),""))</f>
        <v/>
      </c>
      <c r="H181" s="11">
        <f>IF($K181=H$8,1+IF(OFFSET(H181,-1,0)="",0,OFFSET(H181,-1,0)),IF(H$8&lt;$K181,IF(OFFSET(H181,-1,0)="","ERR",OFFSET(H181,-1,0)),""))</f>
        <v/>
      </c>
      <c r="I181" s="11">
        <f>IF($K181=I$8,1+IF(OFFSET(I181,-1,0)="",0,OFFSET(I181,-1,0)),IF(I$8&lt;$K181,IF(OFFSET(I181,-1,0)="","ERR",OFFSET(I181,-1,0)),""))</f>
        <v/>
      </c>
      <c r="J181" s="46">
        <f>_xlfn.TEXTJOIN(".",1,B181:I181)</f>
        <v/>
      </c>
      <c r="K181" s="46" t="inlineStr">
        <is>
          <t>Л7</t>
        </is>
      </c>
      <c r="L181" s="46" t="n"/>
      <c r="M181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81" s="46" t="inlineStr">
        <is>
          <t>шт.</t>
        </is>
      </c>
      <c r="O181" s="94">
        <f>P181+Q181+S181+V181</f>
        <v/>
      </c>
      <c r="P181" s="46" t="n"/>
      <c r="Q181" s="46" t="n"/>
      <c r="R181" s="46" t="n"/>
      <c r="S181" s="46" t="n">
        <v>1</v>
      </c>
      <c r="T181" s="46" t="n">
        <v>1</v>
      </c>
      <c r="U181" s="46" t="n"/>
      <c r="V181" s="46" t="n"/>
      <c r="W181" s="46" t="n"/>
      <c r="X181" s="46" t="n"/>
      <c r="Y181" s="46" t="n"/>
      <c r="Z181" s="46" t="n"/>
      <c r="AA181" s="48" t="n"/>
      <c r="AB181" s="179" t="n"/>
      <c r="AC181" s="189" t="n"/>
      <c r="AD181" s="189">
        <f>SUM(AB181:AC181)</f>
        <v/>
      </c>
      <c r="AE181" s="189">
        <f>AB181*$O181</f>
        <v/>
      </c>
      <c r="AF181" s="189">
        <f>AC181*$O181</f>
        <v/>
      </c>
      <c r="AG181" s="189">
        <f>SUM(AE181:AF181)</f>
        <v/>
      </c>
      <c r="AH181" s="182" t="n"/>
    </row>
    <row r="182" outlineLevel="1">
      <c r="A182" s="18" t="inlineStr">
        <is>
          <t>О</t>
        </is>
      </c>
      <c r="B182" s="11">
        <f>IF($K182=B$8,1+IF(OFFSET(B182,-1,0)="",0,OFFSET(B182,-1,0)),IF(B$8&lt;$K182,IF(OFFSET(B182,-1,0)="","ERR",OFFSET(B182,-1,0)),""))</f>
        <v/>
      </c>
      <c r="C182" s="11">
        <f>IF($K182=C$8,1+IF(OFFSET(C182,-1,0)="",0,OFFSET(C182,-1,0)),IF(C$8&lt;$K182,IF(OFFSET(C182,-1,0)="","ERR",OFFSET(C182,-1,0)),""))</f>
        <v/>
      </c>
      <c r="D182" s="11">
        <f>IF($K182=D$8,1+IF(OFFSET(D182,-1,0)="",0,OFFSET(D182,-1,0)),IF(D$8&lt;$K182,IF(OFFSET(D182,-1,0)="","ERR",OFFSET(D182,-1,0)),""))</f>
        <v/>
      </c>
      <c r="E182" s="11">
        <f>IF($K182=E$8,1+IF(OFFSET(E182,-1,0)="",0,OFFSET(E182,-1,0)),IF(E$8&lt;$K182,IF(OFFSET(E182,-1,0)="","ERR",OFFSET(E182,-1,0)),""))</f>
        <v/>
      </c>
      <c r="F182" s="11">
        <f>IF($K182=F$8,1+IF(OFFSET(F182,-1,0)="",0,OFFSET(F182,-1,0)),IF(F$8&lt;$K182,IF(OFFSET(F182,-1,0)="","ERR",OFFSET(F182,-1,0)),""))</f>
        <v/>
      </c>
      <c r="G182" s="11">
        <f>IF($K182=G$8,1+IF(OFFSET(G182,-1,0)="",0,OFFSET(G182,-1,0)),IF(G$8&lt;$K182,IF(OFFSET(G182,-1,0)="","ERR",OFFSET(G182,-1,0)),""))</f>
        <v/>
      </c>
      <c r="H182" s="11">
        <f>IF($K182=H$8,1+IF(OFFSET(H182,-1,0)="",0,OFFSET(H182,-1,0)),IF(H$8&lt;$K182,IF(OFFSET(H182,-1,0)="","ERR",OFFSET(H182,-1,0)),""))</f>
        <v/>
      </c>
      <c r="I182" s="11">
        <f>IF($K182=I$8,1+IF(OFFSET(I182,-1,0)="",0,OFFSET(I182,-1,0)),IF(I$8&lt;$K182,IF(OFFSET(I182,-1,0)="","ERR",OFFSET(I182,-1,0)),""))</f>
        <v/>
      </c>
      <c r="J182" s="46">
        <f>_xlfn.TEXTJOIN(".",1,B182:I182)</f>
        <v/>
      </c>
      <c r="K182" s="46" t="inlineStr">
        <is>
          <t>Л7</t>
        </is>
      </c>
      <c r="L182" s="46" t="n"/>
      <c r="M182" s="47" t="inlineStr">
        <is>
          <t>Розетка на DIN-рейку с защитным контактом, 16А, 2P, 220В, IP20, РМ-102 16А, Systeme Electric</t>
        </is>
      </c>
      <c r="N182" s="46" t="inlineStr">
        <is>
          <t>шт.</t>
        </is>
      </c>
      <c r="O182" s="94">
        <f>P182+Q182+S182+V182</f>
        <v/>
      </c>
      <c r="P182" s="46" t="n"/>
      <c r="Q182" s="46" t="n"/>
      <c r="R182" s="46" t="n"/>
      <c r="S182" s="46" t="n">
        <v>3</v>
      </c>
      <c r="T182" s="46" t="n">
        <v>3</v>
      </c>
      <c r="U182" s="46" t="n"/>
      <c r="V182" s="46" t="n"/>
      <c r="W182" s="46" t="n"/>
      <c r="X182" s="46" t="n"/>
      <c r="Y182" s="46" t="n"/>
      <c r="Z182" s="46" t="n"/>
      <c r="AA182" s="48" t="n"/>
      <c r="AB182" s="179" t="n"/>
      <c r="AC182" s="189" t="n"/>
      <c r="AD182" s="189">
        <f>SUM(AB182:AC182)</f>
        <v/>
      </c>
      <c r="AE182" s="189">
        <f>AB182*$O182</f>
        <v/>
      </c>
      <c r="AF182" s="189">
        <f>AC182*$O182</f>
        <v/>
      </c>
      <c r="AG182" s="189">
        <f>SUM(AE182:AF182)</f>
        <v/>
      </c>
      <c r="AH182" s="182" t="n"/>
    </row>
    <row r="183" outlineLevel="1">
      <c r="A183" s="18" t="inlineStr">
        <is>
          <t>О</t>
        </is>
      </c>
      <c r="B183" s="11">
        <f>IF($K183=B$8,1+IF(OFFSET(B183,-1,0)="",0,OFFSET(B183,-1,0)),IF(B$8&lt;$K183,IF(OFFSET(B183,-1,0)="","ERR",OFFSET(B183,-1,0)),""))</f>
        <v/>
      </c>
      <c r="C183" s="11">
        <f>IF($K183=C$8,1+IF(OFFSET(C183,-1,0)="",0,OFFSET(C183,-1,0)),IF(C$8&lt;$K183,IF(OFFSET(C183,-1,0)="","ERR",OFFSET(C183,-1,0)),""))</f>
        <v/>
      </c>
      <c r="D183" s="11">
        <f>IF($K183=D$8,1+IF(OFFSET(D183,-1,0)="",0,OFFSET(D183,-1,0)),IF(D$8&lt;$K183,IF(OFFSET(D183,-1,0)="","ERR",OFFSET(D183,-1,0)),""))</f>
        <v/>
      </c>
      <c r="E183" s="11">
        <f>IF($K183=E$8,1+IF(OFFSET(E183,-1,0)="",0,OFFSET(E183,-1,0)),IF(E$8&lt;$K183,IF(OFFSET(E183,-1,0)="","ERR",OFFSET(E183,-1,0)),""))</f>
        <v/>
      </c>
      <c r="F183" s="11">
        <f>IF($K183=F$8,1+IF(OFFSET(F183,-1,0)="",0,OFFSET(F183,-1,0)),IF(F$8&lt;$K183,IF(OFFSET(F183,-1,0)="","ERR",OFFSET(F183,-1,0)),""))</f>
        <v/>
      </c>
      <c r="G183" s="11">
        <f>IF($K183=G$8,1+IF(OFFSET(G183,-1,0)="",0,OFFSET(G183,-1,0)),IF(G$8&lt;$K183,IF(OFFSET(G183,-1,0)="","ERR",OFFSET(G183,-1,0)),""))</f>
        <v/>
      </c>
      <c r="H183" s="11">
        <f>IF($K183=H$8,1+IF(OFFSET(H183,-1,0)="",0,OFFSET(H183,-1,0)),IF(H$8&lt;$K183,IF(OFFSET(H183,-1,0)="","ERR",OFFSET(H183,-1,0)),""))</f>
        <v/>
      </c>
      <c r="I183" s="11">
        <f>IF($K183=I$8,1+IF(OFFSET(I183,-1,0)="",0,OFFSET(I183,-1,0)),IF(I$8&lt;$K183,IF(OFFSET(I183,-1,0)="","ERR",OFFSET(I183,-1,0)),""))</f>
        <v/>
      </c>
      <c r="J183" s="46">
        <f>_xlfn.TEXTJOIN(".",1,B183:I183)</f>
        <v/>
      </c>
      <c r="K183" s="46" t="inlineStr">
        <is>
          <t>Л7</t>
        </is>
      </c>
      <c r="L183" s="46" t="n"/>
      <c r="M183" s="47" t="inlineStr">
        <is>
          <t>Реле контроля однофазного напряжения на DIN-рейку, 1P, 12663, Systeme Electric</t>
        </is>
      </c>
      <c r="N183" s="46" t="inlineStr">
        <is>
          <t>шт.</t>
        </is>
      </c>
      <c r="O183" s="94">
        <f>P183+Q183+S183+V183</f>
        <v/>
      </c>
      <c r="P183" s="46" t="n"/>
      <c r="Q183" s="46" t="n"/>
      <c r="R183" s="46" t="n"/>
      <c r="S183" s="46" t="n">
        <v>1</v>
      </c>
      <c r="T183" s="46" t="n">
        <v>1</v>
      </c>
      <c r="U183" s="46" t="n"/>
      <c r="V183" s="46" t="n"/>
      <c r="W183" s="46" t="n"/>
      <c r="X183" s="46" t="n"/>
      <c r="Y183" s="46" t="n"/>
      <c r="Z183" s="46" t="n"/>
      <c r="AA183" s="48" t="n"/>
      <c r="AB183" s="179" t="n"/>
      <c r="AC183" s="189" t="n"/>
      <c r="AD183" s="189">
        <f>SUM(AB183:AC183)</f>
        <v/>
      </c>
      <c r="AE183" s="189">
        <f>AB183*$O183</f>
        <v/>
      </c>
      <c r="AF183" s="189">
        <f>AC183*$O183</f>
        <v/>
      </c>
      <c r="AG183" s="189">
        <f>SUM(AE183:AF183)</f>
        <v/>
      </c>
      <c r="AH183" s="182" t="n"/>
    </row>
    <row r="184" outlineLevel="1">
      <c r="A184" s="18" t="inlineStr">
        <is>
          <t>О</t>
        </is>
      </c>
      <c r="B184" s="11">
        <f>IF($K184=B$8,1+IF(OFFSET(B184,-1,0)="",0,OFFSET(B184,-1,0)),IF(B$8&lt;$K184,IF(OFFSET(B184,-1,0)="","ERR",OFFSET(B184,-1,0)),""))</f>
        <v/>
      </c>
      <c r="C184" s="11">
        <f>IF($K184=C$8,1+IF(OFFSET(C184,-1,0)="",0,OFFSET(C184,-1,0)),IF(C$8&lt;$K184,IF(OFFSET(C184,-1,0)="","ERR",OFFSET(C184,-1,0)),""))</f>
        <v/>
      </c>
      <c r="D184" s="11">
        <f>IF($K184=D$8,1+IF(OFFSET(D184,-1,0)="",0,OFFSET(D184,-1,0)),IF(D$8&lt;$K184,IF(OFFSET(D184,-1,0)="","ERR",OFFSET(D184,-1,0)),""))</f>
        <v/>
      </c>
      <c r="E184" s="11">
        <f>IF($K184=E$8,1+IF(OFFSET(E184,-1,0)="",0,OFFSET(E184,-1,0)),IF(E$8&lt;$K184,IF(OFFSET(E184,-1,0)="","ERR",OFFSET(E184,-1,0)),""))</f>
        <v/>
      </c>
      <c r="F184" s="11">
        <f>IF($K184=F$8,1+IF(OFFSET(F184,-1,0)="",0,OFFSET(F184,-1,0)),IF(F$8&lt;$K184,IF(OFFSET(F184,-1,0)="","ERR",OFFSET(F184,-1,0)),""))</f>
        <v/>
      </c>
      <c r="G184" s="11">
        <f>IF($K184=G$8,1+IF(OFFSET(G184,-1,0)="",0,OFFSET(G184,-1,0)),IF(G$8&lt;$K184,IF(OFFSET(G184,-1,0)="","ERR",OFFSET(G184,-1,0)),""))</f>
        <v/>
      </c>
      <c r="H184" s="11">
        <f>IF($K184=H$8,1+IF(OFFSET(H184,-1,0)="",0,OFFSET(H184,-1,0)),IF(H$8&lt;$K184,IF(OFFSET(H184,-1,0)="","ERR",OFFSET(H184,-1,0)),""))</f>
        <v/>
      </c>
      <c r="I184" s="11">
        <f>IF($K184=I$8,1+IF(OFFSET(I184,-1,0)="",0,OFFSET(I184,-1,0)),IF(I$8&lt;$K184,IF(OFFSET(I184,-1,0)="","ERR",OFFSET(I184,-1,0)),""))</f>
        <v/>
      </c>
      <c r="J184" s="46">
        <f>_xlfn.TEXTJOIN(".",1,B184:I184)</f>
        <v/>
      </c>
      <c r="K184" s="46" t="inlineStr">
        <is>
          <t>Л7</t>
        </is>
      </c>
      <c r="L184" s="46" t="n"/>
      <c r="M184" s="47" t="inlineStr">
        <is>
          <t>Выключатель автоматический на DIN-рейку, 16А, C, 1P, 1- модульный, C9F14116, Systeme Electric</t>
        </is>
      </c>
      <c r="N184" s="46" t="inlineStr">
        <is>
          <t>шт.</t>
        </is>
      </c>
      <c r="O184" s="94">
        <f>P184+Q184+S184+V184</f>
        <v/>
      </c>
      <c r="P184" s="46" t="n"/>
      <c r="Q184" s="46" t="n"/>
      <c r="R184" s="46" t="n"/>
      <c r="S184" s="46" t="n">
        <v>1</v>
      </c>
      <c r="T184" s="46" t="n">
        <v>1</v>
      </c>
      <c r="U184" s="46" t="n"/>
      <c r="V184" s="46" t="n"/>
      <c r="W184" s="46" t="n"/>
      <c r="X184" s="46" t="n"/>
      <c r="Y184" s="46" t="n"/>
      <c r="Z184" s="46" t="n"/>
      <c r="AA184" s="48" t="n"/>
      <c r="AB184" s="179" t="n"/>
      <c r="AC184" s="189" t="n"/>
      <c r="AD184" s="189">
        <f>SUM(AB184:AC184)</f>
        <v/>
      </c>
      <c r="AE184" s="189">
        <f>AB184*$O184</f>
        <v/>
      </c>
      <c r="AF184" s="189">
        <f>AC184*$O184</f>
        <v/>
      </c>
      <c r="AG184" s="189">
        <f>SUM(AE184:AF184)</f>
        <v/>
      </c>
      <c r="AH184" s="182" t="n"/>
    </row>
    <row r="185" outlineLevel="1">
      <c r="A185" s="18" t="inlineStr">
        <is>
          <t>О</t>
        </is>
      </c>
      <c r="B185" s="11">
        <f>IF($K185=B$8,1+IF(OFFSET(B185,-1,0)="",0,OFFSET(B185,-1,0)),IF(B$8&lt;$K185,IF(OFFSET(B185,-1,0)="","ERR",OFFSET(B185,-1,0)),""))</f>
        <v/>
      </c>
      <c r="C185" s="11">
        <f>IF($K185=C$8,1+IF(OFFSET(C185,-1,0)="",0,OFFSET(C185,-1,0)),IF(C$8&lt;$K185,IF(OFFSET(C185,-1,0)="","ERR",OFFSET(C185,-1,0)),""))</f>
        <v/>
      </c>
      <c r="D185" s="11">
        <f>IF($K185=D$8,1+IF(OFFSET(D185,-1,0)="",0,OFFSET(D185,-1,0)),IF(D$8&lt;$K185,IF(OFFSET(D185,-1,0)="","ERR",OFFSET(D185,-1,0)),""))</f>
        <v/>
      </c>
      <c r="E185" s="11">
        <f>IF($K185=E$8,1+IF(OFFSET(E185,-1,0)="",0,OFFSET(E185,-1,0)),IF(E$8&lt;$K185,IF(OFFSET(E185,-1,0)="","ERR",OFFSET(E185,-1,0)),""))</f>
        <v/>
      </c>
      <c r="F185" s="11">
        <f>IF($K185=F$8,1+IF(OFFSET(F185,-1,0)="",0,OFFSET(F185,-1,0)),IF(F$8&lt;$K185,IF(OFFSET(F185,-1,0)="","ERR",OFFSET(F185,-1,0)),""))</f>
        <v/>
      </c>
      <c r="G185" s="11">
        <f>IF($K185=G$8,1+IF(OFFSET(G185,-1,0)="",0,OFFSET(G185,-1,0)),IF(G$8&lt;$K185,IF(OFFSET(G185,-1,0)="","ERR",OFFSET(G185,-1,0)),""))</f>
        <v/>
      </c>
      <c r="H185" s="11">
        <f>IF($K185=H$8,1+IF(OFFSET(H185,-1,0)="",0,OFFSET(H185,-1,0)),IF(H$8&lt;$K185,IF(OFFSET(H185,-1,0)="","ERR",OFFSET(H185,-1,0)),""))</f>
        <v/>
      </c>
      <c r="I185" s="11">
        <f>IF($K185=I$8,1+IF(OFFSET(I185,-1,0)="",0,OFFSET(I185,-1,0)),IF(I$8&lt;$K185,IF(OFFSET(I185,-1,0)="","ERR",OFFSET(I185,-1,0)),""))</f>
        <v/>
      </c>
      <c r="J185" s="46">
        <f>_xlfn.TEXTJOIN(".",1,B185:I185)</f>
        <v/>
      </c>
      <c r="K185" s="46" t="inlineStr">
        <is>
          <t>Л7</t>
        </is>
      </c>
      <c r="L185" s="46" t="n"/>
      <c r="M185" s="47" t="inlineStr">
        <is>
          <t>Клеммник винтовой на DIN-рейку, NSYTRV22, Systeme Electric</t>
        </is>
      </c>
      <c r="N185" s="46" t="inlineStr">
        <is>
          <t>шт.</t>
        </is>
      </c>
      <c r="O185" s="94">
        <f>P185+Q185+S185+V185</f>
        <v/>
      </c>
      <c r="P185" s="46" t="n"/>
      <c r="Q185" s="46" t="n"/>
      <c r="R185" s="46" t="n"/>
      <c r="S185" s="46" t="n">
        <v>2</v>
      </c>
      <c r="T185" s="46" t="n">
        <v>2</v>
      </c>
      <c r="U185" s="46" t="n"/>
      <c r="V185" s="46" t="n"/>
      <c r="W185" s="46" t="n"/>
      <c r="X185" s="46" t="n"/>
      <c r="Y185" s="46" t="n"/>
      <c r="Z185" s="46" t="n"/>
      <c r="AA185" s="48" t="n"/>
      <c r="AB185" s="179" t="n"/>
      <c r="AC185" s="189" t="n"/>
      <c r="AD185" s="189">
        <f>SUM(AB185:AC185)</f>
        <v/>
      </c>
      <c r="AE185" s="189">
        <f>AB185*$O185</f>
        <v/>
      </c>
      <c r="AF185" s="189">
        <f>AC185*$O185</f>
        <v/>
      </c>
      <c r="AG185" s="189">
        <f>SUM(AE185:AF185)</f>
        <v/>
      </c>
      <c r="AH185" s="182" t="n"/>
    </row>
    <row r="186" outlineLevel="1">
      <c r="A186" s="18" t="inlineStr">
        <is>
          <t>О</t>
        </is>
      </c>
      <c r="B186" s="11">
        <f>IF($K186=B$8,1+IF(OFFSET(B186,-1,0)="",0,OFFSET(B186,-1,0)),IF(B$8&lt;$K186,IF(OFFSET(B186,-1,0)="","ERR",OFFSET(B186,-1,0)),""))</f>
        <v/>
      </c>
      <c r="C186" s="11">
        <f>IF($K186=C$8,1+IF(OFFSET(C186,-1,0)="",0,OFFSET(C186,-1,0)),IF(C$8&lt;$K186,IF(OFFSET(C186,-1,0)="","ERR",OFFSET(C186,-1,0)),""))</f>
        <v/>
      </c>
      <c r="D186" s="11">
        <f>IF($K186=D$8,1+IF(OFFSET(D186,-1,0)="",0,OFFSET(D186,-1,0)),IF(D$8&lt;$K186,IF(OFFSET(D186,-1,0)="","ERR",OFFSET(D186,-1,0)),""))</f>
        <v/>
      </c>
      <c r="E186" s="11">
        <f>IF($K186=E$8,1+IF(OFFSET(E186,-1,0)="",0,OFFSET(E186,-1,0)),IF(E$8&lt;$K186,IF(OFFSET(E186,-1,0)="","ERR",OFFSET(E186,-1,0)),""))</f>
        <v/>
      </c>
      <c r="F186" s="11">
        <f>IF($K186=F$8,1+IF(OFFSET(F186,-1,0)="",0,OFFSET(F186,-1,0)),IF(F$8&lt;$K186,IF(OFFSET(F186,-1,0)="","ERR",OFFSET(F186,-1,0)),""))</f>
        <v/>
      </c>
      <c r="G186" s="11">
        <f>IF($K186=G$8,1+IF(OFFSET(G186,-1,0)="",0,OFFSET(G186,-1,0)),IF(G$8&lt;$K186,IF(OFFSET(G186,-1,0)="","ERR",OFFSET(G186,-1,0)),""))</f>
        <v/>
      </c>
      <c r="H186" s="11">
        <f>IF($K186=H$8,1+IF(OFFSET(H186,-1,0)="",0,OFFSET(H186,-1,0)),IF(H$8&lt;$K186,IF(OFFSET(H186,-1,0)="","ERR",OFFSET(H186,-1,0)),""))</f>
        <v/>
      </c>
      <c r="I186" s="11">
        <f>IF($K186=I$8,1+IF(OFFSET(I186,-1,0)="",0,OFFSET(I186,-1,0)),IF(I$8&lt;$K186,IF(OFFSET(I186,-1,0)="","ERR",OFFSET(I186,-1,0)),""))</f>
        <v/>
      </c>
      <c r="J186" s="46">
        <f>_xlfn.TEXTJOIN(".",1,B186:I186)</f>
        <v/>
      </c>
      <c r="K186" s="46" t="inlineStr">
        <is>
          <t>Л7</t>
        </is>
      </c>
      <c r="L186" s="46" t="n"/>
      <c r="M186" s="47" t="inlineStr">
        <is>
          <t>19″ панель с DIN-рейкой 19", 3U, PS-3U, ТМ «ЦМО»</t>
        </is>
      </c>
      <c r="N186" s="46" t="inlineStr">
        <is>
          <t>шт.</t>
        </is>
      </c>
      <c r="O186" s="94">
        <f>P186+Q186+S186+V186</f>
        <v/>
      </c>
      <c r="P186" s="46" t="n"/>
      <c r="Q186" s="46" t="n"/>
      <c r="R186" s="46" t="n"/>
      <c r="S186" s="46" t="n">
        <v>1</v>
      </c>
      <c r="T186" s="46" t="n">
        <v>1</v>
      </c>
      <c r="U186" s="46" t="n"/>
      <c r="V186" s="46" t="n"/>
      <c r="W186" s="46" t="n"/>
      <c r="X186" s="46" t="n"/>
      <c r="Y186" s="46" t="n"/>
      <c r="Z186" s="46" t="n"/>
      <c r="AA186" s="48" t="n"/>
      <c r="AB186" s="179" t="n"/>
      <c r="AC186" s="189" t="n"/>
      <c r="AD186" s="189">
        <f>SUM(AB186:AC186)</f>
        <v/>
      </c>
      <c r="AE186" s="189">
        <f>AB186*$O186</f>
        <v/>
      </c>
      <c r="AF186" s="189">
        <f>AC186*$O186</f>
        <v/>
      </c>
      <c r="AG186" s="189">
        <f>SUM(AE186:AF186)</f>
        <v/>
      </c>
      <c r="AH186" s="182" t="n"/>
    </row>
    <row r="187" outlineLevel="1">
      <c r="A187" s="18" t="inlineStr">
        <is>
          <t>О</t>
        </is>
      </c>
      <c r="B187" s="11">
        <f>IF($K187=B$8,1+IF(OFFSET(B187,-1,0)="",0,OFFSET(B187,-1,0)),IF(B$8&lt;$K187,IF(OFFSET(B187,-1,0)="","ERR",OFFSET(B187,-1,0)),""))</f>
        <v/>
      </c>
      <c r="C187" s="11">
        <f>IF($K187=C$8,1+IF(OFFSET(C187,-1,0)="",0,OFFSET(C187,-1,0)),IF(C$8&lt;$K187,IF(OFFSET(C187,-1,0)="","ERR",OFFSET(C187,-1,0)),""))</f>
        <v/>
      </c>
      <c r="D187" s="11">
        <f>IF($K187=D$8,1+IF(OFFSET(D187,-1,0)="",0,OFFSET(D187,-1,0)),IF(D$8&lt;$K187,IF(OFFSET(D187,-1,0)="","ERR",OFFSET(D187,-1,0)),""))</f>
        <v/>
      </c>
      <c r="E187" s="11">
        <f>IF($K187=E$8,1+IF(OFFSET(E187,-1,0)="",0,OFFSET(E187,-1,0)),IF(E$8&lt;$K187,IF(OFFSET(E187,-1,0)="","ERR",OFFSET(E187,-1,0)),""))</f>
        <v/>
      </c>
      <c r="F187" s="11">
        <f>IF($K187=F$8,1+IF(OFFSET(F187,-1,0)="",0,OFFSET(F187,-1,0)),IF(F$8&lt;$K187,IF(OFFSET(F187,-1,0)="","ERR",OFFSET(F187,-1,0)),""))</f>
        <v/>
      </c>
      <c r="G187" s="11">
        <f>IF($K187=G$8,1+IF(OFFSET(G187,-1,0)="",0,OFFSET(G187,-1,0)),IF(G$8&lt;$K187,IF(OFFSET(G187,-1,0)="","ERR",OFFSET(G187,-1,0)),""))</f>
        <v/>
      </c>
      <c r="H187" s="11">
        <f>IF($K187=H$8,1+IF(OFFSET(H187,-1,0)="",0,OFFSET(H187,-1,0)),IF(H$8&lt;$K187,IF(OFFSET(H187,-1,0)="","ERR",OFFSET(H187,-1,0)),""))</f>
        <v/>
      </c>
      <c r="I187" s="11">
        <f>IF($K187=I$8,1+IF(OFFSET(I187,-1,0)="",0,OFFSET(I187,-1,0)),IF(I$8&lt;$K187,IF(OFFSET(I187,-1,0)="","ERR",OFFSET(I187,-1,0)),""))</f>
        <v/>
      </c>
      <c r="J187" s="46">
        <f>_xlfn.TEXTJOIN(".",1,B187:I187)</f>
        <v/>
      </c>
      <c r="K187" s="46" t="inlineStr">
        <is>
          <t>Л7</t>
        </is>
      </c>
      <c r="L187" s="46" t="n"/>
      <c r="M187" s="47" t="inlineStr">
        <is>
          <t>Шнур оптический duplex  LC-LC 9/125 sm 1м LSZH, Cabeus FOP(d)-9-LC-LC-1m, Cabeus</t>
        </is>
      </c>
      <c r="N187" s="46" t="inlineStr">
        <is>
          <t>шт.</t>
        </is>
      </c>
      <c r="O187" s="94">
        <f>P187+Q187+S187+V187</f>
        <v/>
      </c>
      <c r="P187" s="46" t="n"/>
      <c r="Q187" s="46" t="n"/>
      <c r="R187" s="46" t="n"/>
      <c r="S187" s="46" t="n">
        <v>2</v>
      </c>
      <c r="T187" s="46" t="n">
        <v>2</v>
      </c>
      <c r="U187" s="46" t="n"/>
      <c r="V187" s="46" t="n"/>
      <c r="W187" s="46" t="n"/>
      <c r="X187" s="46" t="n"/>
      <c r="Y187" s="46" t="n"/>
      <c r="Z187" s="46" t="n"/>
      <c r="AA187" s="48" t="n"/>
      <c r="AB187" s="179" t="n"/>
      <c r="AC187" s="189" t="n"/>
      <c r="AD187" s="189">
        <f>SUM(AB187:AC187)</f>
        <v/>
      </c>
      <c r="AE187" s="189">
        <f>AB187*$O187</f>
        <v/>
      </c>
      <c r="AF187" s="189">
        <f>AC187*$O187</f>
        <v/>
      </c>
      <c r="AG187" s="189">
        <f>SUM(AE187:AF187)</f>
        <v/>
      </c>
      <c r="AH187" s="182" t="n"/>
    </row>
    <row r="188" outlineLevel="1">
      <c r="A188" s="18" t="inlineStr">
        <is>
          <t>О</t>
        </is>
      </c>
      <c r="B188" s="11">
        <f>IF($K188=B$8,1+IF(OFFSET(B188,-1,0)="",0,OFFSET(B188,-1,0)),IF(B$8&lt;$K188,IF(OFFSET(B188,-1,0)="","ERR",OFFSET(B188,-1,0)),""))</f>
        <v/>
      </c>
      <c r="C188" s="11">
        <f>IF($K188=C$8,1+IF(OFFSET(C188,-1,0)="",0,OFFSET(C188,-1,0)),IF(C$8&lt;$K188,IF(OFFSET(C188,-1,0)="","ERR",OFFSET(C188,-1,0)),""))</f>
        <v/>
      </c>
      <c r="D188" s="11">
        <f>IF($K188=D$8,1+IF(OFFSET(D188,-1,0)="",0,OFFSET(D188,-1,0)),IF(D$8&lt;$K188,IF(OFFSET(D188,-1,0)="","ERR",OFFSET(D188,-1,0)),""))</f>
        <v/>
      </c>
      <c r="E188" s="11">
        <f>IF($K188=E$8,1+IF(OFFSET(E188,-1,0)="",0,OFFSET(E188,-1,0)),IF(E$8&lt;$K188,IF(OFFSET(E188,-1,0)="","ERR",OFFSET(E188,-1,0)),""))</f>
        <v/>
      </c>
      <c r="F188" s="11">
        <f>IF($K188=F$8,1+IF(OFFSET(F188,-1,0)="",0,OFFSET(F188,-1,0)),IF(F$8&lt;$K188,IF(OFFSET(F188,-1,0)="","ERR",OFFSET(F188,-1,0)),""))</f>
        <v/>
      </c>
      <c r="G188" s="11">
        <f>IF($K188=G$8,1+IF(OFFSET(G188,-1,0)="",0,OFFSET(G188,-1,0)),IF(G$8&lt;$K188,IF(OFFSET(G188,-1,0)="","ERR",OFFSET(G188,-1,0)),""))</f>
        <v/>
      </c>
      <c r="H188" s="11">
        <f>IF($K188=H$8,1+IF(OFFSET(H188,-1,0)="",0,OFFSET(H188,-1,0)),IF(H$8&lt;$K188,IF(OFFSET(H188,-1,0)="","ERR",OFFSET(H188,-1,0)),""))</f>
        <v/>
      </c>
      <c r="I188" s="11">
        <f>IF($K188=I$8,1+IF(OFFSET(I188,-1,0)="",0,OFFSET(I188,-1,0)),IF(I$8&lt;$K188,IF(OFFSET(I188,-1,0)="","ERR",OFFSET(I188,-1,0)),""))</f>
        <v/>
      </c>
      <c r="J188" s="46">
        <f>_xlfn.TEXTJOIN(".",1,B188:I188)</f>
        <v/>
      </c>
      <c r="K188" s="46" t="inlineStr">
        <is>
          <t>Л7</t>
        </is>
      </c>
      <c r="L188" s="46" t="n"/>
      <c r="M188" s="47" t="inlineStr">
        <is>
          <t>Кабель питания C13 - C14, 1.2м, Cabeus PC-189-VDE-1.0-1.2M, Cabeus</t>
        </is>
      </c>
      <c r="N188" s="46" t="inlineStr">
        <is>
          <t>шт.</t>
        </is>
      </c>
      <c r="O188" s="94">
        <f>P188+Q188+S188+V188</f>
        <v/>
      </c>
      <c r="P188" s="46" t="n"/>
      <c r="Q188" s="46" t="n"/>
      <c r="R188" s="46" t="n"/>
      <c r="S188" s="46" t="n">
        <v>1</v>
      </c>
      <c r="T188" s="46" t="n">
        <v>1</v>
      </c>
      <c r="U188" s="46" t="n"/>
      <c r="V188" s="46" t="n"/>
      <c r="W188" s="46" t="n"/>
      <c r="X188" s="46" t="n"/>
      <c r="Y188" s="46" t="n"/>
      <c r="Z188" s="46" t="n"/>
      <c r="AA188" s="48" t="n"/>
      <c r="AB188" s="179" t="n"/>
      <c r="AC188" s="189" t="n"/>
      <c r="AD188" s="189">
        <f>SUM(AB188:AC188)</f>
        <v/>
      </c>
      <c r="AE188" s="189">
        <f>AB188*$O188</f>
        <v/>
      </c>
      <c r="AF188" s="189">
        <f>AC188*$O188</f>
        <v/>
      </c>
      <c r="AG188" s="189">
        <f>SUM(AE188:AF188)</f>
        <v/>
      </c>
      <c r="AH188" s="182" t="n"/>
    </row>
    <row r="189" outlineLevel="1">
      <c r="A189" s="18" t="inlineStr">
        <is>
          <t>О</t>
        </is>
      </c>
      <c r="B189" s="11">
        <f>IF($K189=B$8,1+IF(OFFSET(B189,-1,0)="",0,OFFSET(B189,-1,0)),IF(B$8&lt;$K189,IF(OFFSET(B189,-1,0)="","ERR",OFFSET(B189,-1,0)),""))</f>
        <v/>
      </c>
      <c r="C189" s="11">
        <f>IF($K189=C$8,1+IF(OFFSET(C189,-1,0)="",0,OFFSET(C189,-1,0)),IF(C$8&lt;$K189,IF(OFFSET(C189,-1,0)="","ERR",OFFSET(C189,-1,0)),""))</f>
        <v/>
      </c>
      <c r="D189" s="11">
        <f>IF($K189=D$8,1+IF(OFFSET(D189,-1,0)="",0,OFFSET(D189,-1,0)),IF(D$8&lt;$K189,IF(OFFSET(D189,-1,0)="","ERR",OFFSET(D189,-1,0)),""))</f>
        <v/>
      </c>
      <c r="E189" s="11">
        <f>IF($K189=E$8,1+IF(OFFSET(E189,-1,0)="",0,OFFSET(E189,-1,0)),IF(E$8&lt;$K189,IF(OFFSET(E189,-1,0)="","ERR",OFFSET(E189,-1,0)),""))</f>
        <v/>
      </c>
      <c r="F189" s="11">
        <f>IF($K189=F$8,1+IF(OFFSET(F189,-1,0)="",0,OFFSET(F189,-1,0)),IF(F$8&lt;$K189,IF(OFFSET(F189,-1,0)="","ERR",OFFSET(F189,-1,0)),""))</f>
        <v/>
      </c>
      <c r="G189" s="11">
        <f>IF($K189=G$8,1+IF(OFFSET(G189,-1,0)="",0,OFFSET(G189,-1,0)),IF(G$8&lt;$K189,IF(OFFSET(G189,-1,0)="","ERR",OFFSET(G189,-1,0)),""))</f>
        <v/>
      </c>
      <c r="H189" s="11">
        <f>IF($K189=H$8,1+IF(OFFSET(H189,-1,0)="",0,OFFSET(H189,-1,0)),IF(H$8&lt;$K189,IF(OFFSET(H189,-1,0)="","ERR",OFFSET(H189,-1,0)),""))</f>
        <v/>
      </c>
      <c r="I189" s="11">
        <f>IF($K189=I$8,1+IF(OFFSET(I189,-1,0)="",0,OFFSET(I189,-1,0)),IF(I$8&lt;$K189,IF(OFFSET(I189,-1,0)="","ERR",OFFSET(I189,-1,0)),""))</f>
        <v/>
      </c>
      <c r="J189" s="46">
        <f>_xlfn.TEXTJOIN(".",1,B189:I189)</f>
        <v/>
      </c>
      <c r="K189" s="46" t="inlineStr">
        <is>
          <t>Л7</t>
        </is>
      </c>
      <c r="L189" s="46" t="n"/>
      <c r="M189" s="47" t="inlineStr">
        <is>
          <t>Кабель питания C13 - CEE 7/7, 1.2м, Cabeus PC-186-VDE-1.0-1.2M, Cabeus</t>
        </is>
      </c>
      <c r="N189" s="46" t="inlineStr">
        <is>
          <t>шт.</t>
        </is>
      </c>
      <c r="O189" s="94">
        <f>P189+Q189+S189+V189</f>
        <v/>
      </c>
      <c r="P189" s="46" t="n"/>
      <c r="Q189" s="46" t="n"/>
      <c r="R189" s="46" t="n"/>
      <c r="S189" s="46" t="n">
        <v>1</v>
      </c>
      <c r="T189" s="46" t="n">
        <v>1</v>
      </c>
      <c r="U189" s="46" t="n"/>
      <c r="V189" s="46" t="n"/>
      <c r="W189" s="46" t="n"/>
      <c r="X189" s="46" t="n"/>
      <c r="Y189" s="46" t="n"/>
      <c r="Z189" s="46" t="n"/>
      <c r="AA189" s="48" t="n"/>
      <c r="AB189" s="179" t="n"/>
      <c r="AC189" s="189" t="n"/>
      <c r="AD189" s="189">
        <f>SUM(AB189:AC189)</f>
        <v/>
      </c>
      <c r="AE189" s="189">
        <f>AB189*$O189</f>
        <v/>
      </c>
      <c r="AF189" s="189">
        <f>AC189*$O189</f>
        <v/>
      </c>
      <c r="AG189" s="189">
        <f>SUM(AE189:AF189)</f>
        <v/>
      </c>
      <c r="AH189" s="182" t="n"/>
    </row>
    <row r="190" outlineLevel="1">
      <c r="A190" s="18" t="inlineStr">
        <is>
          <t>О</t>
        </is>
      </c>
      <c r="B190" s="11">
        <f>IF($K190=B$8,1+IF(OFFSET(B190,-1,0)="",0,OFFSET(B190,-1,0)),IF(B$8&lt;$K190,IF(OFFSET(B190,-1,0)="","ERR",OFFSET(B190,-1,0)),""))</f>
        <v/>
      </c>
      <c r="C190" s="11">
        <f>IF($K190=C$8,1+IF(OFFSET(C190,-1,0)="",0,OFFSET(C190,-1,0)),IF(C$8&lt;$K190,IF(OFFSET(C190,-1,0)="","ERR",OFFSET(C190,-1,0)),""))</f>
        <v/>
      </c>
      <c r="D190" s="11">
        <f>IF($K190=D$8,1+IF(OFFSET(D190,-1,0)="",0,OFFSET(D190,-1,0)),IF(D$8&lt;$K190,IF(OFFSET(D190,-1,0)="","ERR",OFFSET(D190,-1,0)),""))</f>
        <v/>
      </c>
      <c r="E190" s="11">
        <f>IF($K190=E$8,1+IF(OFFSET(E190,-1,0)="",0,OFFSET(E190,-1,0)),IF(E$8&lt;$K190,IF(OFFSET(E190,-1,0)="","ERR",OFFSET(E190,-1,0)),""))</f>
        <v/>
      </c>
      <c r="F190" s="11">
        <f>IF($K190=F$8,1+IF(OFFSET(F190,-1,0)="",0,OFFSET(F190,-1,0)),IF(F$8&lt;$K190,IF(OFFSET(F190,-1,0)="","ERR",OFFSET(F190,-1,0)),""))</f>
        <v/>
      </c>
      <c r="G190" s="11">
        <f>IF($K190=G$8,1+IF(OFFSET(G190,-1,0)="",0,OFFSET(G190,-1,0)),IF(G$8&lt;$K190,IF(OFFSET(G190,-1,0)="","ERR",OFFSET(G190,-1,0)),""))</f>
        <v/>
      </c>
      <c r="H190" s="11">
        <f>IF($K190=H$8,1+IF(OFFSET(H190,-1,0)="",0,OFFSET(H190,-1,0)),IF(H$8&lt;$K190,IF(OFFSET(H190,-1,0)="","ERR",OFFSET(H190,-1,0)),""))</f>
        <v/>
      </c>
      <c r="I190" s="11">
        <f>IF($K190=I$8,1+IF(OFFSET(I190,-1,0)="",0,OFFSET(I190,-1,0)),IF(I$8&lt;$K190,IF(OFFSET(I190,-1,0)="","ERR",OFFSET(I190,-1,0)),""))</f>
        <v/>
      </c>
      <c r="J190" s="46">
        <f>_xlfn.TEXTJOIN(".",1,B190:I190)</f>
        <v/>
      </c>
      <c r="K190" s="46" t="inlineStr">
        <is>
          <t>Л7</t>
        </is>
      </c>
      <c r="L190" s="46" t="n"/>
      <c r="M190" s="47" t="inlineStr">
        <is>
          <t>Розетка компьютерная RJ-45, кат. 6, одинарная, внешняя, Dual IDC., WS-8P8C-Cat.6-1, Cabeus</t>
        </is>
      </c>
      <c r="N190" s="46" t="inlineStr">
        <is>
          <t>шт.</t>
        </is>
      </c>
      <c r="O190" s="94">
        <f>P190+Q190+S190+V190</f>
        <v/>
      </c>
      <c r="P190" s="46" t="n"/>
      <c r="Q190" s="46" t="n"/>
      <c r="R190" s="46" t="n"/>
      <c r="S190" s="46" t="n">
        <v>6</v>
      </c>
      <c r="T190" s="46" t="n">
        <v>6</v>
      </c>
      <c r="U190" s="46" t="n"/>
      <c r="V190" s="46" t="n"/>
      <c r="W190" s="46" t="n"/>
      <c r="X190" s="46" t="n"/>
      <c r="Y190" s="46" t="n"/>
      <c r="Z190" s="46" t="n"/>
      <c r="AA190" s="48" t="n"/>
      <c r="AB190" s="179" t="n"/>
      <c r="AC190" s="189" t="n"/>
      <c r="AD190" s="189">
        <f>SUM(AB190:AC190)</f>
        <v/>
      </c>
      <c r="AE190" s="189">
        <f>AB190*$O190</f>
        <v/>
      </c>
      <c r="AF190" s="189">
        <f>AC190*$O190</f>
        <v/>
      </c>
      <c r="AG190" s="189">
        <f>SUM(AE190:AF190)</f>
        <v/>
      </c>
      <c r="AH190" s="182" t="n"/>
    </row>
    <row r="191" outlineLevel="1">
      <c r="A191" s="18" t="inlineStr">
        <is>
          <t>О</t>
        </is>
      </c>
      <c r="B191" s="11">
        <f>IF($K191=B$8,1+IF(OFFSET(B191,-1,0)="",0,OFFSET(B191,-1,0)),IF(B$8&lt;$K191,IF(OFFSET(B191,-1,0)="","ERR",OFFSET(B191,-1,0)),""))</f>
        <v/>
      </c>
      <c r="C191" s="11">
        <f>IF($K191=C$8,1+IF(OFFSET(C191,-1,0)="",0,OFFSET(C191,-1,0)),IF(C$8&lt;$K191,IF(OFFSET(C191,-1,0)="","ERR",OFFSET(C191,-1,0)),""))</f>
        <v/>
      </c>
      <c r="D191" s="11">
        <f>IF($K191=D$8,1+IF(OFFSET(D191,-1,0)="",0,OFFSET(D191,-1,0)),IF(D$8&lt;$K191,IF(OFFSET(D191,-1,0)="","ERR",OFFSET(D191,-1,0)),""))</f>
        <v/>
      </c>
      <c r="E191" s="11">
        <f>IF($K191=E$8,1+IF(OFFSET(E191,-1,0)="",0,OFFSET(E191,-1,0)),IF(E$8&lt;$K191,IF(OFFSET(E191,-1,0)="","ERR",OFFSET(E191,-1,0)),""))</f>
        <v/>
      </c>
      <c r="F191" s="11">
        <f>IF($K191=F$8,1+IF(OFFSET(F191,-1,0)="",0,OFFSET(F191,-1,0)),IF(F$8&lt;$K191,IF(OFFSET(F191,-1,0)="","ERR",OFFSET(F191,-1,0)),""))</f>
        <v/>
      </c>
      <c r="G191" s="11">
        <f>IF($K191=G$8,1+IF(OFFSET(G191,-1,0)="",0,OFFSET(G191,-1,0)),IF(G$8&lt;$K191,IF(OFFSET(G191,-1,0)="","ERR",OFFSET(G191,-1,0)),""))</f>
        <v/>
      </c>
      <c r="H191" s="11">
        <f>IF($K191=H$8,1+IF(OFFSET(H191,-1,0)="",0,OFFSET(H191,-1,0)),IF(H$8&lt;$K191,IF(OFFSET(H191,-1,0)="","ERR",OFFSET(H191,-1,0)),""))</f>
        <v/>
      </c>
      <c r="I191" s="11">
        <f>IF($K191=I$8,1+IF(OFFSET(I191,-1,0)="",0,OFFSET(I191,-1,0)),IF(I$8&lt;$K191,IF(OFFSET(I191,-1,0)="","ERR",OFFSET(I191,-1,0)),""))</f>
        <v/>
      </c>
      <c r="J191" s="46">
        <f>_xlfn.TEXTJOIN(".",1,B191:I191)</f>
        <v/>
      </c>
      <c r="K191" s="46" t="inlineStr">
        <is>
          <t>Л7</t>
        </is>
      </c>
      <c r="L191" s="46" t="n"/>
      <c r="M191" s="64" t="inlineStr">
        <is>
          <t>Сопутствующие и прочие материалы*</t>
        </is>
      </c>
      <c r="N191" s="46" t="inlineStr">
        <is>
          <t>компл</t>
        </is>
      </c>
      <c r="O191" s="94">
        <f>P191+Q191+S191+V191</f>
        <v/>
      </c>
      <c r="P191" s="46" t="n"/>
      <c r="Q191" s="46" t="n"/>
      <c r="R191" s="46" t="n"/>
      <c r="S191" s="46" t="n">
        <v>1</v>
      </c>
      <c r="T191" s="46" t="n">
        <v>1</v>
      </c>
      <c r="U191" s="46" t="n"/>
      <c r="V191" s="46" t="n"/>
      <c r="W191" s="46" t="n"/>
      <c r="X191" s="46" t="n"/>
      <c r="Y191" s="46" t="n"/>
      <c r="Z191" s="46" t="n"/>
      <c r="AA191" s="48" t="n"/>
      <c r="AB191" s="179" t="n"/>
      <c r="AC191" s="189" t="n"/>
      <c r="AD191" s="189">
        <f>SUM(AB191:AC191)</f>
        <v/>
      </c>
      <c r="AE191" s="189">
        <f>AB191*$O191</f>
        <v/>
      </c>
      <c r="AF191" s="189">
        <f>AC191*$O191</f>
        <v/>
      </c>
      <c r="AG191" s="189">
        <f>SUM(AE191:AF191)</f>
        <v/>
      </c>
      <c r="AH191" s="182" t="n"/>
    </row>
    <row r="192" outlineLevel="1">
      <c r="A192" s="18" t="inlineStr">
        <is>
          <t>О</t>
        </is>
      </c>
      <c r="B192" s="11">
        <f>IF($K192=B$8,1+IF(OFFSET(B192,-1,0)="",0,OFFSET(B192,-1,0)),IF(B$8&lt;$K192,IF(OFFSET(B192,-1,0)="","ERR",OFFSET(B192,-1,0)),""))</f>
        <v/>
      </c>
      <c r="C192" s="11">
        <f>IF($K192=C$8,1+IF(OFFSET(C192,-1,0)="",0,OFFSET(C192,-1,0)),IF(C$8&lt;$K192,IF(OFFSET(C192,-1,0)="","ERR",OFFSET(C192,-1,0)),""))</f>
        <v/>
      </c>
      <c r="D192" s="11">
        <f>IF($K192=D$8,1+IF(OFFSET(D192,-1,0)="",0,OFFSET(D192,-1,0)),IF(D$8&lt;$K192,IF(OFFSET(D192,-1,0)="","ERR",OFFSET(D192,-1,0)),""))</f>
        <v/>
      </c>
      <c r="E192" s="11">
        <f>IF($K192=E$8,1+IF(OFFSET(E192,-1,0)="",0,OFFSET(E192,-1,0)),IF(E$8&lt;$K192,IF(OFFSET(E192,-1,0)="","ERR",OFFSET(E192,-1,0)),""))</f>
        <v/>
      </c>
      <c r="F192" s="11">
        <f>IF($K192=F$8,1+IF(OFFSET(F192,-1,0)="",0,OFFSET(F192,-1,0)),IF(F$8&lt;$K192,IF(OFFSET(F192,-1,0)="","ERR",OFFSET(F192,-1,0)),""))</f>
        <v/>
      </c>
      <c r="G192" s="11">
        <f>IF($K192=G$8,1+IF(OFFSET(G192,-1,0)="",0,OFFSET(G192,-1,0)),IF(G$8&lt;$K192,IF(OFFSET(G192,-1,0)="","ERR",OFFSET(G192,-1,0)),""))</f>
        <v/>
      </c>
      <c r="H192" s="11">
        <f>IF($K192=H$8,1+IF(OFFSET(H192,-1,0)="",0,OFFSET(H192,-1,0)),IF(H$8&lt;$K192,IF(OFFSET(H192,-1,0)="","ERR",OFFSET(H192,-1,0)),""))</f>
        <v/>
      </c>
      <c r="I192" s="11">
        <f>IF($K192=I$8,1+IF(OFFSET(I192,-1,0)="",0,OFFSET(I192,-1,0)),IF(I$8&lt;$K192,IF(OFFSET(I192,-1,0)="","ERR",OFFSET(I192,-1,0)),""))</f>
        <v/>
      </c>
      <c r="J192" s="46">
        <f>_xlfn.TEXTJOIN(".",1,B192:I192)</f>
        <v/>
      </c>
      <c r="K192" s="46" t="inlineStr">
        <is>
          <t>Л6</t>
        </is>
      </c>
      <c r="L192" s="46" t="inlineStr">
        <is>
          <t>3.3.3.7.1.2</t>
        </is>
      </c>
      <c r="M192" s="47" t="inlineStr">
        <is>
          <t>Монтаж телекоммуникационного шкафа/стойка (ТШ) навесного комплектного</t>
        </is>
      </c>
      <c r="N192" s="46" t="inlineStr">
        <is>
          <t>компл</t>
        </is>
      </c>
      <c r="O192" s="94">
        <f>P192+Q192+S192+V192</f>
        <v/>
      </c>
      <c r="P192" s="46" t="n"/>
      <c r="Q192" s="46" t="n"/>
      <c r="R192" s="46" t="n"/>
      <c r="S192" s="46" t="n"/>
      <c r="T192" s="46" t="n"/>
      <c r="U192" s="46" t="n">
        <v>1</v>
      </c>
      <c r="V192" s="46" t="n">
        <v>1</v>
      </c>
      <c r="W192" s="46" t="n"/>
      <c r="X192" s="46" t="n"/>
      <c r="Y192" s="46" t="n"/>
      <c r="Z192" s="46" t="n"/>
      <c r="AA192" s="48" t="inlineStr">
        <is>
          <t>ТШ СКС 3</t>
        </is>
      </c>
      <c r="AB192" s="187" t="n"/>
      <c r="AC192" s="180" t="n">
        <v>42000</v>
      </c>
      <c r="AD192" s="189">
        <f>SUM(AB192:AC192)</f>
        <v/>
      </c>
      <c r="AE192" s="189">
        <f>AB192*$O192</f>
        <v/>
      </c>
      <c r="AF192" s="189">
        <f>AC192*$O192</f>
        <v/>
      </c>
      <c r="AG192" s="189">
        <f>SUM(AE192:AF192)</f>
        <v/>
      </c>
      <c r="AH192" s="182" t="n"/>
    </row>
    <row r="193" outlineLevel="1" ht="25.5" customHeight="1">
      <c r="A193" s="18" t="inlineStr">
        <is>
          <t>О</t>
        </is>
      </c>
      <c r="B193" s="11">
        <f>IF($K193=B$8,1+IF(OFFSET(B193,-1,0)="",0,OFFSET(B193,-1,0)),IF(B$8&lt;$K193,IF(OFFSET(B193,-1,0)="","ERR",OFFSET(B193,-1,0)),""))</f>
        <v/>
      </c>
      <c r="C193" s="11">
        <f>IF($K193=C$8,1+IF(OFFSET(C193,-1,0)="",0,OFFSET(C193,-1,0)),IF(C$8&lt;$K193,IF(OFFSET(C193,-1,0)="","ERR",OFFSET(C193,-1,0)),""))</f>
        <v/>
      </c>
      <c r="D193" s="11">
        <f>IF($K193=D$8,1+IF(OFFSET(D193,-1,0)="",0,OFFSET(D193,-1,0)),IF(D$8&lt;$K193,IF(OFFSET(D193,-1,0)="","ERR",OFFSET(D193,-1,0)),""))</f>
        <v/>
      </c>
      <c r="E193" s="11">
        <f>IF($K193=E$8,1+IF(OFFSET(E193,-1,0)="",0,OFFSET(E193,-1,0)),IF(E$8&lt;$K193,IF(OFFSET(E193,-1,0)="","ERR",OFFSET(E193,-1,0)),""))</f>
        <v/>
      </c>
      <c r="F193" s="11">
        <f>IF($K193=F$8,1+IF(OFFSET(F193,-1,0)="",0,OFFSET(F193,-1,0)),IF(F$8&lt;$K193,IF(OFFSET(F193,-1,0)="","ERR",OFFSET(F193,-1,0)),""))</f>
        <v/>
      </c>
      <c r="G193" s="11">
        <f>IF($K193=G$8,1+IF(OFFSET(G193,-1,0)="",0,OFFSET(G193,-1,0)),IF(G$8&lt;$K193,IF(OFFSET(G193,-1,0)="","ERR",OFFSET(G193,-1,0)),""))</f>
        <v/>
      </c>
      <c r="H193" s="11">
        <f>IF($K193=H$8,1+IF(OFFSET(H193,-1,0)="",0,OFFSET(H193,-1,0)),IF(H$8&lt;$K193,IF(OFFSET(H193,-1,0)="","ERR",OFFSET(H193,-1,0)),""))</f>
        <v/>
      </c>
      <c r="I193" s="11">
        <f>IF($K193=I$8,1+IF(OFFSET(I193,-1,0)="",0,OFFSET(I193,-1,0)),IF(I$8&lt;$K193,IF(OFFSET(I193,-1,0)="","ERR",OFFSET(I193,-1,0)),""))</f>
        <v/>
      </c>
      <c r="J193" s="46">
        <f>_xlfn.TEXTJOIN(".",1,B193:I193)</f>
        <v/>
      </c>
      <c r="K193" s="46" t="inlineStr">
        <is>
          <t>Л7</t>
        </is>
      </c>
      <c r="L193" s="46" t="n"/>
      <c r="M193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93" s="46" t="inlineStr">
        <is>
          <t>шт.</t>
        </is>
      </c>
      <c r="O193" s="94">
        <f>P193+Q193+S193+V193</f>
        <v/>
      </c>
      <c r="P193" s="46" t="n"/>
      <c r="Q193" s="46" t="n"/>
      <c r="R193" s="46" t="n"/>
      <c r="S193" s="46" t="n"/>
      <c r="T193" s="46" t="n"/>
      <c r="U193" s="46" t="n">
        <v>1</v>
      </c>
      <c r="V193" s="46" t="n">
        <v>1</v>
      </c>
      <c r="W193" s="46" t="n"/>
      <c r="X193" s="46" t="n"/>
      <c r="Y193" s="46" t="n"/>
      <c r="Z193" s="46" t="n"/>
      <c r="AA193" s="48" t="n"/>
      <c r="AB193" s="179" t="n"/>
      <c r="AC193" s="189" t="n"/>
      <c r="AD193" s="189">
        <f>SUM(AB193:AC193)</f>
        <v/>
      </c>
      <c r="AE193" s="189">
        <f>AB193*$O193</f>
        <v/>
      </c>
      <c r="AF193" s="189">
        <f>AC193*$O193</f>
        <v/>
      </c>
      <c r="AG193" s="189">
        <f>SUM(AE193:AF193)</f>
        <v/>
      </c>
      <c r="AH193" s="182" t="n"/>
    </row>
    <row r="194" outlineLevel="1">
      <c r="A194" s="18" t="inlineStr">
        <is>
          <t>О</t>
        </is>
      </c>
      <c r="B194" s="11">
        <f>IF($K194=B$8,1+IF(OFFSET(B194,-1,0)="",0,OFFSET(B194,-1,0)),IF(B$8&lt;$K194,IF(OFFSET(B194,-1,0)="","ERR",OFFSET(B194,-1,0)),""))</f>
        <v/>
      </c>
      <c r="C194" s="11">
        <f>IF($K194=C$8,1+IF(OFFSET(C194,-1,0)="",0,OFFSET(C194,-1,0)),IF(C$8&lt;$K194,IF(OFFSET(C194,-1,0)="","ERR",OFFSET(C194,-1,0)),""))</f>
        <v/>
      </c>
      <c r="D194" s="11">
        <f>IF($K194=D$8,1+IF(OFFSET(D194,-1,0)="",0,OFFSET(D194,-1,0)),IF(D$8&lt;$K194,IF(OFFSET(D194,-1,0)="","ERR",OFFSET(D194,-1,0)),""))</f>
        <v/>
      </c>
      <c r="E194" s="11">
        <f>IF($K194=E$8,1+IF(OFFSET(E194,-1,0)="",0,OFFSET(E194,-1,0)),IF(E$8&lt;$K194,IF(OFFSET(E194,-1,0)="","ERR",OFFSET(E194,-1,0)),""))</f>
        <v/>
      </c>
      <c r="F194" s="11">
        <f>IF($K194=F$8,1+IF(OFFSET(F194,-1,0)="",0,OFFSET(F194,-1,0)),IF(F$8&lt;$K194,IF(OFFSET(F194,-1,0)="","ERR",OFFSET(F194,-1,0)),""))</f>
        <v/>
      </c>
      <c r="G194" s="11">
        <f>IF($K194=G$8,1+IF(OFFSET(G194,-1,0)="",0,OFFSET(G194,-1,0)),IF(G$8&lt;$K194,IF(OFFSET(G194,-1,0)="","ERR",OFFSET(G194,-1,0)),""))</f>
        <v/>
      </c>
      <c r="H194" s="11">
        <f>IF($K194=H$8,1+IF(OFFSET(H194,-1,0)="",0,OFFSET(H194,-1,0)),IF(H$8&lt;$K194,IF(OFFSET(H194,-1,0)="","ERR",OFFSET(H194,-1,0)),""))</f>
        <v/>
      </c>
      <c r="I194" s="11">
        <f>IF($K194=I$8,1+IF(OFFSET(I194,-1,0)="",0,OFFSET(I194,-1,0)),IF(I$8&lt;$K194,IF(OFFSET(I194,-1,0)="","ERR",OFFSET(I194,-1,0)),""))</f>
        <v/>
      </c>
      <c r="J194" s="46">
        <f>_xlfn.TEXTJOIN(".",1,B194:I194)</f>
        <v/>
      </c>
      <c r="K194" s="46" t="inlineStr">
        <is>
          <t>Л7</t>
        </is>
      </c>
      <c r="L194" s="46" t="n"/>
      <c r="M194" s="47" t="inlineStr">
        <is>
          <t>Модули вентиляторные потолочные, R-FAN-3T, ТМ «ЦМО»</t>
        </is>
      </c>
      <c r="N194" s="46" t="inlineStr">
        <is>
          <t>шт.</t>
        </is>
      </c>
      <c r="O194" s="94">
        <f>P194+Q194+S194+V194</f>
        <v/>
      </c>
      <c r="P194" s="46" t="n"/>
      <c r="Q194" s="46" t="n"/>
      <c r="R194" s="46" t="n"/>
      <c r="S194" s="46" t="n"/>
      <c r="T194" s="46" t="n"/>
      <c r="U194" s="46" t="n">
        <v>1</v>
      </c>
      <c r="V194" s="46" t="n">
        <v>1</v>
      </c>
      <c r="W194" s="46" t="n"/>
      <c r="X194" s="46" t="n"/>
      <c r="Y194" s="46" t="n"/>
      <c r="Z194" s="46" t="n"/>
      <c r="AA194" s="48" t="n"/>
      <c r="AB194" s="179" t="n"/>
      <c r="AC194" s="189" t="n"/>
      <c r="AD194" s="189">
        <f>SUM(AB194:AC194)</f>
        <v/>
      </c>
      <c r="AE194" s="189">
        <f>AB194*$O194</f>
        <v/>
      </c>
      <c r="AF194" s="189">
        <f>AC194*$O194</f>
        <v/>
      </c>
      <c r="AG194" s="189">
        <f>SUM(AE194:AF194)</f>
        <v/>
      </c>
      <c r="AH194" s="182" t="n"/>
    </row>
    <row r="195" outlineLevel="1">
      <c r="A195" s="18" t="inlineStr">
        <is>
          <t>О</t>
        </is>
      </c>
      <c r="B195" s="11">
        <f>IF($K195=B$8,1+IF(OFFSET(B195,-1,0)="",0,OFFSET(B195,-1,0)),IF(B$8&lt;$K195,IF(OFFSET(B195,-1,0)="","ERR",OFFSET(B195,-1,0)),""))</f>
        <v/>
      </c>
      <c r="C195" s="11">
        <f>IF($K195=C$8,1+IF(OFFSET(C195,-1,0)="",0,OFFSET(C195,-1,0)),IF(C$8&lt;$K195,IF(OFFSET(C195,-1,0)="","ERR",OFFSET(C195,-1,0)),""))</f>
        <v/>
      </c>
      <c r="D195" s="11">
        <f>IF($K195=D$8,1+IF(OFFSET(D195,-1,0)="",0,OFFSET(D195,-1,0)),IF(D$8&lt;$K195,IF(OFFSET(D195,-1,0)="","ERR",OFFSET(D195,-1,0)),""))</f>
        <v/>
      </c>
      <c r="E195" s="11">
        <f>IF($K195=E$8,1+IF(OFFSET(E195,-1,0)="",0,OFFSET(E195,-1,0)),IF(E$8&lt;$K195,IF(OFFSET(E195,-1,0)="","ERR",OFFSET(E195,-1,0)),""))</f>
        <v/>
      </c>
      <c r="F195" s="11">
        <f>IF($K195=F$8,1+IF(OFFSET(F195,-1,0)="",0,OFFSET(F195,-1,0)),IF(F$8&lt;$K195,IF(OFFSET(F195,-1,0)="","ERR",OFFSET(F195,-1,0)),""))</f>
        <v/>
      </c>
      <c r="G195" s="11">
        <f>IF($K195=G$8,1+IF(OFFSET(G195,-1,0)="",0,OFFSET(G195,-1,0)),IF(G$8&lt;$K195,IF(OFFSET(G195,-1,0)="","ERR",OFFSET(G195,-1,0)),""))</f>
        <v/>
      </c>
      <c r="H195" s="11">
        <f>IF($K195=H$8,1+IF(OFFSET(H195,-1,0)="",0,OFFSET(H195,-1,0)),IF(H$8&lt;$K195,IF(OFFSET(H195,-1,0)="","ERR",OFFSET(H195,-1,0)),""))</f>
        <v/>
      </c>
      <c r="I195" s="11">
        <f>IF($K195=I$8,1+IF(OFFSET(I195,-1,0)="",0,OFFSET(I195,-1,0)),IF(I$8&lt;$K195,IF(OFFSET(I195,-1,0)="","ERR",OFFSET(I195,-1,0)),""))</f>
        <v/>
      </c>
      <c r="J195" s="46">
        <f>_xlfn.TEXTJOIN(".",1,B195:I195)</f>
        <v/>
      </c>
      <c r="K195" s="46" t="inlineStr">
        <is>
          <t>Л7</t>
        </is>
      </c>
      <c r="L195" s="46" t="n"/>
      <c r="M195" s="47" t="inlineStr">
        <is>
          <t>Панель осветительная светодиодная, цвет черный, R-LED-220-B, ТМ «ЦМО»</t>
        </is>
      </c>
      <c r="N195" s="46" t="inlineStr">
        <is>
          <t>шт.</t>
        </is>
      </c>
      <c r="O195" s="94">
        <f>P195+Q195+S195+V195</f>
        <v/>
      </c>
      <c r="P195" s="46" t="n"/>
      <c r="Q195" s="46" t="n"/>
      <c r="R195" s="46" t="n"/>
      <c r="S195" s="46" t="n"/>
      <c r="T195" s="46" t="n"/>
      <c r="U195" s="46" t="n">
        <v>1</v>
      </c>
      <c r="V195" s="46" t="n">
        <v>1</v>
      </c>
      <c r="W195" s="46" t="n"/>
      <c r="X195" s="46" t="n"/>
      <c r="Y195" s="46" t="n"/>
      <c r="Z195" s="46" t="n"/>
      <c r="AA195" s="48" t="n"/>
      <c r="AB195" s="179" t="n"/>
      <c r="AC195" s="189" t="n"/>
      <c r="AD195" s="189">
        <f>SUM(AB195:AC195)</f>
        <v/>
      </c>
      <c r="AE195" s="189">
        <f>AB195*$O195</f>
        <v/>
      </c>
      <c r="AF195" s="189">
        <f>AC195*$O195</f>
        <v/>
      </c>
      <c r="AG195" s="189">
        <f>SUM(AE195:AF195)</f>
        <v/>
      </c>
      <c r="AH195" s="182" t="n"/>
    </row>
    <row r="196" outlineLevel="1" ht="25.5" customHeight="1">
      <c r="A196" s="18" t="inlineStr">
        <is>
          <t>О</t>
        </is>
      </c>
      <c r="B196" s="11">
        <f>IF($K196=B$8,1+IF(OFFSET(B196,-1,0)="",0,OFFSET(B196,-1,0)),IF(B$8&lt;$K196,IF(OFFSET(B196,-1,0)="","ERR",OFFSET(B196,-1,0)),""))</f>
        <v/>
      </c>
      <c r="C196" s="11">
        <f>IF($K196=C$8,1+IF(OFFSET(C196,-1,0)="",0,OFFSET(C196,-1,0)),IF(C$8&lt;$K196,IF(OFFSET(C196,-1,0)="","ERR",OFFSET(C196,-1,0)),""))</f>
        <v/>
      </c>
      <c r="D196" s="11">
        <f>IF($K196=D$8,1+IF(OFFSET(D196,-1,0)="",0,OFFSET(D196,-1,0)),IF(D$8&lt;$K196,IF(OFFSET(D196,-1,0)="","ERR",OFFSET(D196,-1,0)),""))</f>
        <v/>
      </c>
      <c r="E196" s="11">
        <f>IF($K196=E$8,1+IF(OFFSET(E196,-1,0)="",0,OFFSET(E196,-1,0)),IF(E$8&lt;$K196,IF(OFFSET(E196,-1,0)="","ERR",OFFSET(E196,-1,0)),""))</f>
        <v/>
      </c>
      <c r="F196" s="11">
        <f>IF($K196=F$8,1+IF(OFFSET(F196,-1,0)="",0,OFFSET(F196,-1,0)),IF(F$8&lt;$K196,IF(OFFSET(F196,-1,0)="","ERR",OFFSET(F196,-1,0)),""))</f>
        <v/>
      </c>
      <c r="G196" s="11">
        <f>IF($K196=G$8,1+IF(OFFSET(G196,-1,0)="",0,OFFSET(G196,-1,0)),IF(G$8&lt;$K196,IF(OFFSET(G196,-1,0)="","ERR",OFFSET(G196,-1,0)),""))</f>
        <v/>
      </c>
      <c r="H196" s="11">
        <f>IF($K196=H$8,1+IF(OFFSET(H196,-1,0)="",0,OFFSET(H196,-1,0)),IF(H$8&lt;$K196,IF(OFFSET(H196,-1,0)="","ERR",OFFSET(H196,-1,0)),""))</f>
        <v/>
      </c>
      <c r="I196" s="11">
        <f>IF($K196=I$8,1+IF(OFFSET(I196,-1,0)="",0,OFFSET(I196,-1,0)),IF(I$8&lt;$K196,IF(OFFSET(I196,-1,0)="","ERR",OFFSET(I196,-1,0)),""))</f>
        <v/>
      </c>
      <c r="J196" s="49">
        <f>_xlfn.TEXTJOIN(".",1,B196:I196)</f>
        <v/>
      </c>
      <c r="K196" s="49" t="inlineStr">
        <is>
          <t>Л7</t>
        </is>
      </c>
      <c r="L196" s="49" t="n"/>
      <c r="M196" s="63" t="inlineStr">
        <is>
          <t>L2 коммутатор с 24 портами PoE 100 Мбит/с и 2 портами combo Uplink 1000 Мбит/с RJ-45/SFP, LTV-3S24G4C-MP, LTV</t>
        </is>
      </c>
      <c r="N196" s="49" t="inlineStr">
        <is>
          <t>шт.</t>
        </is>
      </c>
      <c r="O196" s="50">
        <f>P196+Q196+S196+V196</f>
        <v/>
      </c>
      <c r="P196" s="49" t="n"/>
      <c r="Q196" s="49" t="n"/>
      <c r="R196" s="49" t="n"/>
      <c r="S196" s="49" t="n"/>
      <c r="T196" s="49" t="n"/>
      <c r="U196" s="49" t="n">
        <v>1</v>
      </c>
      <c r="V196" s="49" t="n">
        <v>1</v>
      </c>
      <c r="W196" s="50" t="n">
        <v>1</v>
      </c>
      <c r="X196" s="26" t="n">
        <v>5040070405</v>
      </c>
      <c r="Y196" s="26" t="n">
        <v>772201001</v>
      </c>
      <c r="Z196" s="26" t="inlineStr">
        <is>
          <t>ООО "ЛУИС+"</t>
        </is>
      </c>
      <c r="AA196" s="51" t="inlineStr">
        <is>
          <t>ГТ</t>
        </is>
      </c>
      <c r="AB196" s="188" t="n"/>
      <c r="AC196" s="189" t="n"/>
      <c r="AD196" s="190">
        <f>SUM(AB196:AC196)</f>
        <v/>
      </c>
      <c r="AE196" s="190">
        <f>AB196*$O196*$W196</f>
        <v/>
      </c>
      <c r="AF196" s="190">
        <f>AC196*$O196*$W196</f>
        <v/>
      </c>
      <c r="AG196" s="190">
        <f>SUM(AE196:AF196)</f>
        <v/>
      </c>
      <c r="AH196" s="182" t="n"/>
    </row>
    <row r="197" outlineLevel="1">
      <c r="A197" s="18" t="inlineStr">
        <is>
          <t>О</t>
        </is>
      </c>
      <c r="B197" s="11">
        <f>IF($K197=B$8,1+IF(OFFSET(B197,-1,0)="",0,OFFSET(B197,-1,0)),IF(B$8&lt;$K197,IF(OFFSET(B197,-1,0)="","ERR",OFFSET(B197,-1,0)),""))</f>
        <v/>
      </c>
      <c r="C197" s="11">
        <f>IF($K197=C$8,1+IF(OFFSET(C197,-1,0)="",0,OFFSET(C197,-1,0)),IF(C$8&lt;$K197,IF(OFFSET(C197,-1,0)="","ERR",OFFSET(C197,-1,0)),""))</f>
        <v/>
      </c>
      <c r="D197" s="11">
        <f>IF($K197=D$8,1+IF(OFFSET(D197,-1,0)="",0,OFFSET(D197,-1,0)),IF(D$8&lt;$K197,IF(OFFSET(D197,-1,0)="","ERR",OFFSET(D197,-1,0)),""))</f>
        <v/>
      </c>
      <c r="E197" s="11">
        <f>IF($K197=E$8,1+IF(OFFSET(E197,-1,0)="",0,OFFSET(E197,-1,0)),IF(E$8&lt;$K197,IF(OFFSET(E197,-1,0)="","ERR",OFFSET(E197,-1,0)),""))</f>
        <v/>
      </c>
      <c r="F197" s="11">
        <f>IF($K197=F$8,1+IF(OFFSET(F197,-1,0)="",0,OFFSET(F197,-1,0)),IF(F$8&lt;$K197,IF(OFFSET(F197,-1,0)="","ERR",OFFSET(F197,-1,0)),""))</f>
        <v/>
      </c>
      <c r="G197" s="11">
        <f>IF($K197=G$8,1+IF(OFFSET(G197,-1,0)="",0,OFFSET(G197,-1,0)),IF(G$8&lt;$K197,IF(OFFSET(G197,-1,0)="","ERR",OFFSET(G197,-1,0)),""))</f>
        <v/>
      </c>
      <c r="H197" s="11">
        <f>IF($K197=H$8,1+IF(OFFSET(H197,-1,0)="",0,OFFSET(H197,-1,0)),IF(H$8&lt;$K197,IF(OFFSET(H197,-1,0)="","ERR",OFFSET(H197,-1,0)),""))</f>
        <v/>
      </c>
      <c r="I197" s="11">
        <f>IF($K197=I$8,1+IF(OFFSET(I197,-1,0)="",0,OFFSET(I197,-1,0)),IF(I$8&lt;$K197,IF(OFFSET(I197,-1,0)="","ERR",OFFSET(I197,-1,0)),""))</f>
        <v/>
      </c>
      <c r="J197" s="46">
        <f>_xlfn.TEXTJOIN(".",1,B197:I197)</f>
        <v/>
      </c>
      <c r="K197" s="46" t="inlineStr">
        <is>
          <t>Л7</t>
        </is>
      </c>
      <c r="L197" s="46" t="n"/>
      <c r="M197" s="47" t="inlineStr">
        <is>
          <t>Источник бесперебойного питания «Штиль» STR1102SL, STR1102SL, Штиль</t>
        </is>
      </c>
      <c r="N197" s="46" t="inlineStr">
        <is>
          <t>шт.</t>
        </is>
      </c>
      <c r="O197" s="94">
        <f>P197+Q197+S197+V197</f>
        <v/>
      </c>
      <c r="P197" s="46" t="n"/>
      <c r="Q197" s="46" t="n"/>
      <c r="R197" s="46" t="n"/>
      <c r="S197" s="46" t="n"/>
      <c r="T197" s="46" t="n"/>
      <c r="U197" s="46" t="n">
        <v>1</v>
      </c>
      <c r="V197" s="46" t="n">
        <v>1</v>
      </c>
      <c r="W197" s="46" t="n"/>
      <c r="X197" s="46" t="n"/>
      <c r="Y197" s="46" t="n"/>
      <c r="Z197" s="46" t="n"/>
      <c r="AA197" s="48" t="n"/>
      <c r="AB197" s="179" t="n"/>
      <c r="AC197" s="189" t="n"/>
      <c r="AD197" s="189">
        <f>SUM(AB197:AC197)</f>
        <v/>
      </c>
      <c r="AE197" s="189">
        <f>AB197*$O197</f>
        <v/>
      </c>
      <c r="AF197" s="189">
        <f>AC197*$O197</f>
        <v/>
      </c>
      <c r="AG197" s="189">
        <f>SUM(AE197:AF197)</f>
        <v/>
      </c>
      <c r="AH197" s="182" t="n"/>
    </row>
    <row r="198" outlineLevel="1">
      <c r="A198" s="18" t="inlineStr">
        <is>
          <t>О</t>
        </is>
      </c>
      <c r="B198" s="11">
        <f>IF($K198=B$8,1+IF(OFFSET(B198,-1,0)="",0,OFFSET(B198,-1,0)),IF(B$8&lt;$K198,IF(OFFSET(B198,-1,0)="","ERR",OFFSET(B198,-1,0)),""))</f>
        <v/>
      </c>
      <c r="C198" s="11">
        <f>IF($K198=C$8,1+IF(OFFSET(C198,-1,0)="",0,OFFSET(C198,-1,0)),IF(C$8&lt;$K198,IF(OFFSET(C198,-1,0)="","ERR",OFFSET(C198,-1,0)),""))</f>
        <v/>
      </c>
      <c r="D198" s="11">
        <f>IF($K198=D$8,1+IF(OFFSET(D198,-1,0)="",0,OFFSET(D198,-1,0)),IF(D$8&lt;$K198,IF(OFFSET(D198,-1,0)="","ERR",OFFSET(D198,-1,0)),""))</f>
        <v/>
      </c>
      <c r="E198" s="11">
        <f>IF($K198=E$8,1+IF(OFFSET(E198,-1,0)="",0,OFFSET(E198,-1,0)),IF(E$8&lt;$K198,IF(OFFSET(E198,-1,0)="","ERR",OFFSET(E198,-1,0)),""))</f>
        <v/>
      </c>
      <c r="F198" s="11">
        <f>IF($K198=F$8,1+IF(OFFSET(F198,-1,0)="",0,OFFSET(F198,-1,0)),IF(F$8&lt;$K198,IF(OFFSET(F198,-1,0)="","ERR",OFFSET(F198,-1,0)),""))</f>
        <v/>
      </c>
      <c r="G198" s="11">
        <f>IF($K198=G$8,1+IF(OFFSET(G198,-1,0)="",0,OFFSET(G198,-1,0)),IF(G$8&lt;$K198,IF(OFFSET(G198,-1,0)="","ERR",OFFSET(G198,-1,0)),""))</f>
        <v/>
      </c>
      <c r="H198" s="11">
        <f>IF($K198=H$8,1+IF(OFFSET(H198,-1,0)="",0,OFFSET(H198,-1,0)),IF(H$8&lt;$K198,IF(OFFSET(H198,-1,0)="","ERR",OFFSET(H198,-1,0)),""))</f>
        <v/>
      </c>
      <c r="I198" s="11">
        <f>IF($K198=I$8,1+IF(OFFSET(I198,-1,0)="",0,OFFSET(I198,-1,0)),IF(I$8&lt;$K198,IF(OFFSET(I198,-1,0)="","ERR",OFFSET(I198,-1,0)),""))</f>
        <v/>
      </c>
      <c r="J198" s="46">
        <f>_xlfn.TEXTJOIN(".",1,B198:I198)</f>
        <v/>
      </c>
      <c r="K198" s="46" t="inlineStr">
        <is>
          <t>Л7</t>
        </is>
      </c>
      <c r="L198" s="46" t="n"/>
      <c r="M198" s="47" t="inlineStr">
        <is>
          <t>Карта мониторинга IC-SNMP/WEB, IC-SNMP/WEB, Штиль</t>
        </is>
      </c>
      <c r="N198" s="46" t="inlineStr">
        <is>
          <t>шт.</t>
        </is>
      </c>
      <c r="O198" s="94">
        <f>P198+Q198+S198+V198</f>
        <v/>
      </c>
      <c r="P198" s="46" t="n"/>
      <c r="Q198" s="46" t="n"/>
      <c r="R198" s="46" t="n"/>
      <c r="S198" s="46" t="n"/>
      <c r="T198" s="46" t="n"/>
      <c r="U198" s="46" t="n">
        <v>1</v>
      </c>
      <c r="V198" s="46" t="n">
        <v>1</v>
      </c>
      <c r="W198" s="46" t="n"/>
      <c r="X198" s="46" t="n"/>
      <c r="Y198" s="46" t="n"/>
      <c r="Z198" s="46" t="n"/>
      <c r="AA198" s="48" t="n"/>
      <c r="AB198" s="179" t="n"/>
      <c r="AC198" s="189" t="n"/>
      <c r="AD198" s="189">
        <f>SUM(AB198:AC198)</f>
        <v/>
      </c>
      <c r="AE198" s="189">
        <f>AB198*$O198</f>
        <v/>
      </c>
      <c r="AF198" s="189">
        <f>AC198*$O198</f>
        <v/>
      </c>
      <c r="AG198" s="189">
        <f>SUM(AE198:AF198)</f>
        <v/>
      </c>
      <c r="AH198" s="182" t="n"/>
    </row>
    <row r="199" outlineLevel="1">
      <c r="A199" s="18" t="inlineStr">
        <is>
          <t>О</t>
        </is>
      </c>
      <c r="B199" s="11">
        <f>IF($K199=B$8,1+IF(OFFSET(B199,-1,0)="",0,OFFSET(B199,-1,0)),IF(B$8&lt;$K199,IF(OFFSET(B199,-1,0)="","ERR",OFFSET(B199,-1,0)),""))</f>
        <v/>
      </c>
      <c r="C199" s="11">
        <f>IF($K199=C$8,1+IF(OFFSET(C199,-1,0)="",0,OFFSET(C199,-1,0)),IF(C$8&lt;$K199,IF(OFFSET(C199,-1,0)="","ERR",OFFSET(C199,-1,0)),""))</f>
        <v/>
      </c>
      <c r="D199" s="11">
        <f>IF($K199=D$8,1+IF(OFFSET(D199,-1,0)="",0,OFFSET(D199,-1,0)),IF(D$8&lt;$K199,IF(OFFSET(D199,-1,0)="","ERR",OFFSET(D199,-1,0)),""))</f>
        <v/>
      </c>
      <c r="E199" s="11">
        <f>IF($K199=E$8,1+IF(OFFSET(E199,-1,0)="",0,OFFSET(E199,-1,0)),IF(E$8&lt;$K199,IF(OFFSET(E199,-1,0)="","ERR",OFFSET(E199,-1,0)),""))</f>
        <v/>
      </c>
      <c r="F199" s="11">
        <f>IF($K199=F$8,1+IF(OFFSET(F199,-1,0)="",0,OFFSET(F199,-1,0)),IF(F$8&lt;$K199,IF(OFFSET(F199,-1,0)="","ERR",OFFSET(F199,-1,0)),""))</f>
        <v/>
      </c>
      <c r="G199" s="11">
        <f>IF($K199=G$8,1+IF(OFFSET(G199,-1,0)="",0,OFFSET(G199,-1,0)),IF(G$8&lt;$K199,IF(OFFSET(G199,-1,0)="","ERR",OFFSET(G199,-1,0)),""))</f>
        <v/>
      </c>
      <c r="H199" s="11">
        <f>IF($K199=H$8,1+IF(OFFSET(H199,-1,0)="",0,OFFSET(H199,-1,0)),IF(H$8&lt;$K199,IF(OFFSET(H199,-1,0)="","ERR",OFFSET(H199,-1,0)),""))</f>
        <v/>
      </c>
      <c r="I199" s="11">
        <f>IF($K199=I$8,1+IF(OFFSET(I199,-1,0)="",0,OFFSET(I199,-1,0)),IF(I$8&lt;$K199,IF(OFFSET(I199,-1,0)="","ERR",OFFSET(I199,-1,0)),""))</f>
        <v/>
      </c>
      <c r="J199" s="49">
        <f>_xlfn.TEXTJOIN(".",1,B199:I199)</f>
        <v/>
      </c>
      <c r="K199" s="49" t="inlineStr">
        <is>
          <t>Л7</t>
        </is>
      </c>
      <c r="L199" s="49" t="n"/>
      <c r="M199" s="63" t="inlineStr">
        <is>
          <t>SFP-трансивер с 1 портом 1 Гбит/с, для одномодового оптического кабеля , LTV-SFP-1G-LC20, LTV</t>
        </is>
      </c>
      <c r="N199" s="49" t="inlineStr">
        <is>
          <t>шт.</t>
        </is>
      </c>
      <c r="O199" s="50">
        <f>P199+Q199+S199+V199</f>
        <v/>
      </c>
      <c r="P199" s="49" t="n"/>
      <c r="Q199" s="49" t="n"/>
      <c r="R199" s="49" t="n"/>
      <c r="S199" s="49" t="n"/>
      <c r="T199" s="49" t="n"/>
      <c r="U199" s="49" t="n">
        <v>2</v>
      </c>
      <c r="V199" s="49" t="n">
        <v>2</v>
      </c>
      <c r="W199" s="50" t="n">
        <v>1</v>
      </c>
      <c r="X199" s="26" t="n">
        <v>5040070405</v>
      </c>
      <c r="Y199" s="26" t="n">
        <v>772201001</v>
      </c>
      <c r="Z199" s="26" t="inlineStr">
        <is>
          <t>ООО "ЛУИС+"</t>
        </is>
      </c>
      <c r="AA199" s="51" t="inlineStr">
        <is>
          <t>ГТ</t>
        </is>
      </c>
      <c r="AB199" s="188" t="n"/>
      <c r="AC199" s="189" t="n"/>
      <c r="AD199" s="190">
        <f>SUM(AB199:AC199)</f>
        <v/>
      </c>
      <c r="AE199" s="190">
        <f>AB199*$O199*$W199</f>
        <v/>
      </c>
      <c r="AF199" s="190">
        <f>AC199*$O199*$W199</f>
        <v/>
      </c>
      <c r="AG199" s="190">
        <f>SUM(AE199:AF199)</f>
        <v/>
      </c>
      <c r="AH199" s="182" t="n"/>
    </row>
    <row r="200" outlineLevel="1" ht="25.5" customHeight="1">
      <c r="A200" s="18" t="inlineStr">
        <is>
          <t>О</t>
        </is>
      </c>
      <c r="B200" s="11">
        <f>IF($K200=B$8,1+IF(OFFSET(B200,-1,0)="",0,OFFSET(B200,-1,0)),IF(B$8&lt;$K200,IF(OFFSET(B200,-1,0)="","ERR",OFFSET(B200,-1,0)),""))</f>
        <v/>
      </c>
      <c r="C200" s="11">
        <f>IF($K200=C$8,1+IF(OFFSET(C200,-1,0)="",0,OFFSET(C200,-1,0)),IF(C$8&lt;$K200,IF(OFFSET(C200,-1,0)="","ERR",OFFSET(C200,-1,0)),""))</f>
        <v/>
      </c>
      <c r="D200" s="11">
        <f>IF($K200=D$8,1+IF(OFFSET(D200,-1,0)="",0,OFFSET(D200,-1,0)),IF(D$8&lt;$K200,IF(OFFSET(D200,-1,0)="","ERR",OFFSET(D200,-1,0)),""))</f>
        <v/>
      </c>
      <c r="E200" s="11">
        <f>IF($K200=E$8,1+IF(OFFSET(E200,-1,0)="",0,OFFSET(E200,-1,0)),IF(E$8&lt;$K200,IF(OFFSET(E200,-1,0)="","ERR",OFFSET(E200,-1,0)),""))</f>
        <v/>
      </c>
      <c r="F200" s="11">
        <f>IF($K200=F$8,1+IF(OFFSET(F200,-1,0)="",0,OFFSET(F200,-1,0)),IF(F$8&lt;$K200,IF(OFFSET(F200,-1,0)="","ERR",OFFSET(F200,-1,0)),""))</f>
        <v/>
      </c>
      <c r="G200" s="11">
        <f>IF($K200=G$8,1+IF(OFFSET(G200,-1,0)="",0,OFFSET(G200,-1,0)),IF(G$8&lt;$K200,IF(OFFSET(G200,-1,0)="","ERR",OFFSET(G200,-1,0)),""))</f>
        <v/>
      </c>
      <c r="H200" s="11">
        <f>IF($K200=H$8,1+IF(OFFSET(H200,-1,0)="",0,OFFSET(H200,-1,0)),IF(H$8&lt;$K200,IF(OFFSET(H200,-1,0)="","ERR",OFFSET(H200,-1,0)),""))</f>
        <v/>
      </c>
      <c r="I200" s="11">
        <f>IF($K200=I$8,1+IF(OFFSET(I200,-1,0)="",0,OFFSET(I200,-1,0)),IF(I$8&lt;$K200,IF(OFFSET(I200,-1,0)="","ERR",OFFSET(I200,-1,0)),""))</f>
        <v/>
      </c>
      <c r="J200" s="46">
        <f>_xlfn.TEXTJOIN(".",1,B200:I200)</f>
        <v/>
      </c>
      <c r="K200" s="46" t="inlineStr">
        <is>
          <t>Л7</t>
        </is>
      </c>
      <c r="L200" s="46" t="n"/>
      <c r="M200" s="47" t="inlineStr">
        <is>
          <t>Патч-корд U/UTP, категория 6, 2xRJ45/8p8c, неэкранированный, серый, LSZH, 0.3м, Cabeus PC-UTP-RJ45- Cat.6-0.3m-LSZH, 8875c, Cabeus</t>
        </is>
      </c>
      <c r="N200" s="46" t="inlineStr">
        <is>
          <t>шт.</t>
        </is>
      </c>
      <c r="O200" s="94">
        <f>P200+Q200+S200+V200</f>
        <v/>
      </c>
      <c r="P200" s="46" t="n"/>
      <c r="Q200" s="46" t="n"/>
      <c r="R200" s="46" t="n"/>
      <c r="S200" s="46" t="n"/>
      <c r="T200" s="46" t="n"/>
      <c r="U200" s="46" t="n">
        <v>10</v>
      </c>
      <c r="V200" s="46" t="n">
        <v>10</v>
      </c>
      <c r="W200" s="46" t="n"/>
      <c r="X200" s="46" t="n"/>
      <c r="Y200" s="46" t="n"/>
      <c r="Z200" s="46" t="n"/>
      <c r="AA200" s="48" t="n"/>
      <c r="AB200" s="179" t="n"/>
      <c r="AC200" s="189" t="n"/>
      <c r="AD200" s="189">
        <f>SUM(AB200:AC200)</f>
        <v/>
      </c>
      <c r="AE200" s="189">
        <f>AB200*$O200</f>
        <v/>
      </c>
      <c r="AF200" s="189">
        <f>AC200*$O200</f>
        <v/>
      </c>
      <c r="AG200" s="189">
        <f>SUM(AE200:AF200)</f>
        <v/>
      </c>
      <c r="AH200" s="182" t="n"/>
    </row>
    <row r="201" outlineLevel="1">
      <c r="A201" s="18" t="inlineStr">
        <is>
          <t>О</t>
        </is>
      </c>
      <c r="B201" s="11">
        <f>IF($K201=B$8,1+IF(OFFSET(B201,-1,0)="",0,OFFSET(B201,-1,0)),IF(B$8&lt;$K201,IF(OFFSET(B201,-1,0)="","ERR",OFFSET(B201,-1,0)),""))</f>
        <v/>
      </c>
      <c r="C201" s="11">
        <f>IF($K201=C$8,1+IF(OFFSET(C201,-1,0)="",0,OFFSET(C201,-1,0)),IF(C$8&lt;$K201,IF(OFFSET(C201,-1,0)="","ERR",OFFSET(C201,-1,0)),""))</f>
        <v/>
      </c>
      <c r="D201" s="11">
        <f>IF($K201=D$8,1+IF(OFFSET(D201,-1,0)="",0,OFFSET(D201,-1,0)),IF(D$8&lt;$K201,IF(OFFSET(D201,-1,0)="","ERR",OFFSET(D201,-1,0)),""))</f>
        <v/>
      </c>
      <c r="E201" s="11">
        <f>IF($K201=E$8,1+IF(OFFSET(E201,-1,0)="",0,OFFSET(E201,-1,0)),IF(E$8&lt;$K201,IF(OFFSET(E201,-1,0)="","ERR",OFFSET(E201,-1,0)),""))</f>
        <v/>
      </c>
      <c r="F201" s="11">
        <f>IF($K201=F$8,1+IF(OFFSET(F201,-1,0)="",0,OFFSET(F201,-1,0)),IF(F$8&lt;$K201,IF(OFFSET(F201,-1,0)="","ERR",OFFSET(F201,-1,0)),""))</f>
        <v/>
      </c>
      <c r="G201" s="11">
        <f>IF($K201=G$8,1+IF(OFFSET(G201,-1,0)="",0,OFFSET(G201,-1,0)),IF(G$8&lt;$K201,IF(OFFSET(G201,-1,0)="","ERR",OFFSET(G201,-1,0)),""))</f>
        <v/>
      </c>
      <c r="H201" s="11">
        <f>IF($K201=H$8,1+IF(OFFSET(H201,-1,0)="",0,OFFSET(H201,-1,0)),IF(H$8&lt;$K201,IF(OFFSET(H201,-1,0)="","ERR",OFFSET(H201,-1,0)),""))</f>
        <v/>
      </c>
      <c r="I201" s="11">
        <f>IF($K201=I$8,1+IF(OFFSET(I201,-1,0)="",0,OFFSET(I201,-1,0)),IF(I$8&lt;$K201,IF(OFFSET(I201,-1,0)="","ERR",OFFSET(I201,-1,0)),""))</f>
        <v/>
      </c>
      <c r="J201" s="46">
        <f>_xlfn.TEXTJOIN(".",1,B201:I201)</f>
        <v/>
      </c>
      <c r="K201" s="46" t="inlineStr">
        <is>
          <t>Л7</t>
        </is>
      </c>
      <c r="L201" s="46" t="n"/>
      <c r="M201" s="47" t="inlineStr">
        <is>
          <t>Патч-панель 19" (1U), 24 порта RJ-45, категория 6, DUAL, PL-24-Cat.6-Dual, Cabeus</t>
        </is>
      </c>
      <c r="N201" s="46" t="inlineStr">
        <is>
          <t>шт.</t>
        </is>
      </c>
      <c r="O201" s="94">
        <f>P201+Q201+S201+V201</f>
        <v/>
      </c>
      <c r="P201" s="46" t="n"/>
      <c r="Q201" s="46" t="n"/>
      <c r="R201" s="46" t="n"/>
      <c r="S201" s="46" t="n"/>
      <c r="T201" s="46" t="n"/>
      <c r="U201" s="46" t="n">
        <v>1</v>
      </c>
      <c r="V201" s="46" t="n">
        <v>1</v>
      </c>
      <c r="W201" s="46" t="n"/>
      <c r="X201" s="46" t="n"/>
      <c r="Y201" s="46" t="n"/>
      <c r="Z201" s="46" t="n"/>
      <c r="AA201" s="48" t="n"/>
      <c r="AB201" s="179" t="n"/>
      <c r="AC201" s="189" t="n"/>
      <c r="AD201" s="189">
        <f>SUM(AB201:AC201)</f>
        <v/>
      </c>
      <c r="AE201" s="189">
        <f>AB201*$O201</f>
        <v/>
      </c>
      <c r="AF201" s="189">
        <f>AC201*$O201</f>
        <v/>
      </c>
      <c r="AG201" s="189">
        <f>SUM(AE201:AF201)</f>
        <v/>
      </c>
      <c r="AH201" s="182" t="n"/>
    </row>
    <row r="202" outlineLevel="1">
      <c r="A202" s="18" t="inlineStr">
        <is>
          <t>О</t>
        </is>
      </c>
      <c r="B202" s="11">
        <f>IF($K202=B$8,1+IF(OFFSET(B202,-1,0)="",0,OFFSET(B202,-1,0)),IF(B$8&lt;$K202,IF(OFFSET(B202,-1,0)="","ERR",OFFSET(B202,-1,0)),""))</f>
        <v/>
      </c>
      <c r="C202" s="11">
        <f>IF($K202=C$8,1+IF(OFFSET(C202,-1,0)="",0,OFFSET(C202,-1,0)),IF(C$8&lt;$K202,IF(OFFSET(C202,-1,0)="","ERR",OFFSET(C202,-1,0)),""))</f>
        <v/>
      </c>
      <c r="D202" s="11">
        <f>IF($K202=D$8,1+IF(OFFSET(D202,-1,0)="",0,OFFSET(D202,-1,0)),IF(D$8&lt;$K202,IF(OFFSET(D202,-1,0)="","ERR",OFFSET(D202,-1,0)),""))</f>
        <v/>
      </c>
      <c r="E202" s="11">
        <f>IF($K202=E$8,1+IF(OFFSET(E202,-1,0)="",0,OFFSET(E202,-1,0)),IF(E$8&lt;$K202,IF(OFFSET(E202,-1,0)="","ERR",OFFSET(E202,-1,0)),""))</f>
        <v/>
      </c>
      <c r="F202" s="11">
        <f>IF($K202=F$8,1+IF(OFFSET(F202,-1,0)="",0,OFFSET(F202,-1,0)),IF(F$8&lt;$K202,IF(OFFSET(F202,-1,0)="","ERR",OFFSET(F202,-1,0)),""))</f>
        <v/>
      </c>
      <c r="G202" s="11">
        <f>IF($K202=G$8,1+IF(OFFSET(G202,-1,0)="",0,OFFSET(G202,-1,0)),IF(G$8&lt;$K202,IF(OFFSET(G202,-1,0)="","ERR",OFFSET(G202,-1,0)),""))</f>
        <v/>
      </c>
      <c r="H202" s="11">
        <f>IF($K202=H$8,1+IF(OFFSET(H202,-1,0)="",0,OFFSET(H202,-1,0)),IF(H$8&lt;$K202,IF(OFFSET(H202,-1,0)="","ERR",OFFSET(H202,-1,0)),""))</f>
        <v/>
      </c>
      <c r="I202" s="11">
        <f>IF($K202=I$8,1+IF(OFFSET(I202,-1,0)="",0,OFFSET(I202,-1,0)),IF(I$8&lt;$K202,IF(OFFSET(I202,-1,0)="","ERR",OFFSET(I202,-1,0)),""))</f>
        <v/>
      </c>
      <c r="J202" s="46">
        <f>_xlfn.TEXTJOIN(".",1,B202:I202)</f>
        <v/>
      </c>
      <c r="K202" s="46" t="inlineStr">
        <is>
          <t>Л7</t>
        </is>
      </c>
      <c r="L202" s="46" t="n"/>
      <c r="M202" s="47" t="inlineStr">
        <is>
          <t>Кабельный органайзер 19" 1U, ГКО-4.62-9005, ТМ «ЦМО»</t>
        </is>
      </c>
      <c r="N202" s="46" t="inlineStr">
        <is>
          <t>шт.</t>
        </is>
      </c>
      <c r="O202" s="94">
        <f>P202+Q202+S202+V202</f>
        <v/>
      </c>
      <c r="P202" s="46" t="n"/>
      <c r="Q202" s="46" t="n"/>
      <c r="R202" s="46" t="n"/>
      <c r="S202" s="46" t="n"/>
      <c r="T202" s="46" t="n"/>
      <c r="U202" s="46" t="n">
        <v>2</v>
      </c>
      <c r="V202" s="46" t="n">
        <v>2</v>
      </c>
      <c r="W202" s="46" t="n"/>
      <c r="X202" s="46" t="n"/>
      <c r="Y202" s="46" t="n"/>
      <c r="Z202" s="46" t="n"/>
      <c r="AA202" s="48" t="n"/>
      <c r="AB202" s="179" t="n"/>
      <c r="AC202" s="189" t="n"/>
      <c r="AD202" s="189">
        <f>SUM(AB202:AC202)</f>
        <v/>
      </c>
      <c r="AE202" s="189">
        <f>AB202*$O202</f>
        <v/>
      </c>
      <c r="AF202" s="189">
        <f>AC202*$O202</f>
        <v/>
      </c>
      <c r="AG202" s="189">
        <f>SUM(AE202:AF202)</f>
        <v/>
      </c>
      <c r="AH202" s="182" t="n"/>
    </row>
    <row r="203" outlineLevel="1">
      <c r="A203" s="18" t="inlineStr">
        <is>
          <t>О</t>
        </is>
      </c>
      <c r="B203" s="11">
        <f>IF($K203=B$8,1+IF(OFFSET(B203,-1,0)="",0,OFFSET(B203,-1,0)),IF(B$8&lt;$K203,IF(OFFSET(B203,-1,0)="","ERR",OFFSET(B203,-1,0)),""))</f>
        <v/>
      </c>
      <c r="C203" s="11">
        <f>IF($K203=C$8,1+IF(OFFSET(C203,-1,0)="",0,OFFSET(C203,-1,0)),IF(C$8&lt;$K203,IF(OFFSET(C203,-1,0)="","ERR",OFFSET(C203,-1,0)),""))</f>
        <v/>
      </c>
      <c r="D203" s="11">
        <f>IF($K203=D$8,1+IF(OFFSET(D203,-1,0)="",0,OFFSET(D203,-1,0)),IF(D$8&lt;$K203,IF(OFFSET(D203,-1,0)="","ERR",OFFSET(D203,-1,0)),""))</f>
        <v/>
      </c>
      <c r="E203" s="11">
        <f>IF($K203=E$8,1+IF(OFFSET(E203,-1,0)="",0,OFFSET(E203,-1,0)),IF(E$8&lt;$K203,IF(OFFSET(E203,-1,0)="","ERR",OFFSET(E203,-1,0)),""))</f>
        <v/>
      </c>
      <c r="F203" s="11">
        <f>IF($K203=F$8,1+IF(OFFSET(F203,-1,0)="",0,OFFSET(F203,-1,0)),IF(F$8&lt;$K203,IF(OFFSET(F203,-1,0)="","ERR",OFFSET(F203,-1,0)),""))</f>
        <v/>
      </c>
      <c r="G203" s="11">
        <f>IF($K203=G$8,1+IF(OFFSET(G203,-1,0)="",0,OFFSET(G203,-1,0)),IF(G$8&lt;$K203,IF(OFFSET(G203,-1,0)="","ERR",OFFSET(G203,-1,0)),""))</f>
        <v/>
      </c>
      <c r="H203" s="11">
        <f>IF($K203=H$8,1+IF(OFFSET(H203,-1,0)="",0,OFFSET(H203,-1,0)),IF(H$8&lt;$K203,IF(OFFSET(H203,-1,0)="","ERR",OFFSET(H203,-1,0)),""))</f>
        <v/>
      </c>
      <c r="I203" s="11">
        <f>IF($K203=I$8,1+IF(OFFSET(I203,-1,0)="",0,OFFSET(I203,-1,0)),IF(I$8&lt;$K203,IF(OFFSET(I203,-1,0)="","ERR",OFFSET(I203,-1,0)),""))</f>
        <v/>
      </c>
      <c r="J203" s="46">
        <f>_xlfn.TEXTJOIN(".",1,B203:I203)</f>
        <v/>
      </c>
      <c r="K203" s="46" t="inlineStr">
        <is>
          <t>Л7</t>
        </is>
      </c>
      <c r="L203" s="46" t="n"/>
      <c r="M203" s="47" t="inlineStr">
        <is>
          <t>Комплект для монтажа в стойку ИБП Штиль, 1060905, Штиль</t>
        </is>
      </c>
      <c r="N203" s="46" t="inlineStr">
        <is>
          <t>шт.</t>
        </is>
      </c>
      <c r="O203" s="94">
        <f>P203+Q203+S203+V203</f>
        <v/>
      </c>
      <c r="P203" s="46" t="n"/>
      <c r="Q203" s="46" t="n"/>
      <c r="R203" s="46" t="n"/>
      <c r="S203" s="46" t="n"/>
      <c r="T203" s="46" t="n"/>
      <c r="U203" s="46" t="n">
        <v>1</v>
      </c>
      <c r="V203" s="46" t="n">
        <v>1</v>
      </c>
      <c r="W203" s="46" t="n"/>
      <c r="X203" s="46" t="n"/>
      <c r="Y203" s="46" t="n"/>
      <c r="Z203" s="46" t="n"/>
      <c r="AA203" s="48" t="n"/>
      <c r="AB203" s="179" t="n"/>
      <c r="AC203" s="189" t="n"/>
      <c r="AD203" s="189">
        <f>SUM(AB203:AC203)</f>
        <v/>
      </c>
      <c r="AE203" s="189">
        <f>AB203*$O203</f>
        <v/>
      </c>
      <c r="AF203" s="189">
        <f>AC203*$O203</f>
        <v/>
      </c>
      <c r="AG203" s="189">
        <f>SUM(AE203:AF203)</f>
        <v/>
      </c>
      <c r="AH203" s="182" t="n"/>
    </row>
    <row r="204" outlineLevel="1" ht="25.5" customHeight="1">
      <c r="A204" s="18" t="inlineStr">
        <is>
          <t>О</t>
        </is>
      </c>
      <c r="B204" s="11">
        <f>IF($K204=B$8,1+IF(OFFSET(B204,-1,0)="",0,OFFSET(B204,-1,0)),IF(B$8&lt;$K204,IF(OFFSET(B204,-1,0)="","ERR",OFFSET(B204,-1,0)),""))</f>
        <v/>
      </c>
      <c r="C204" s="11">
        <f>IF($K204=C$8,1+IF(OFFSET(C204,-1,0)="",0,OFFSET(C204,-1,0)),IF(C$8&lt;$K204,IF(OFFSET(C204,-1,0)="","ERR",OFFSET(C204,-1,0)),""))</f>
        <v/>
      </c>
      <c r="D204" s="11">
        <f>IF($K204=D$8,1+IF(OFFSET(D204,-1,0)="",0,OFFSET(D204,-1,0)),IF(D$8&lt;$K204,IF(OFFSET(D204,-1,0)="","ERR",OFFSET(D204,-1,0)),""))</f>
        <v/>
      </c>
      <c r="E204" s="11">
        <f>IF($K204=E$8,1+IF(OFFSET(E204,-1,0)="",0,OFFSET(E204,-1,0)),IF(E$8&lt;$K204,IF(OFFSET(E204,-1,0)="","ERR",OFFSET(E204,-1,0)),""))</f>
        <v/>
      </c>
      <c r="F204" s="11">
        <f>IF($K204=F$8,1+IF(OFFSET(F204,-1,0)="",0,OFFSET(F204,-1,0)),IF(F$8&lt;$K204,IF(OFFSET(F204,-1,0)="","ERR",OFFSET(F204,-1,0)),""))</f>
        <v/>
      </c>
      <c r="G204" s="11">
        <f>IF($K204=G$8,1+IF(OFFSET(G204,-1,0)="",0,OFFSET(G204,-1,0)),IF(G$8&lt;$K204,IF(OFFSET(G204,-1,0)="","ERR",OFFSET(G204,-1,0)),""))</f>
        <v/>
      </c>
      <c r="H204" s="11">
        <f>IF($K204=H$8,1+IF(OFFSET(H204,-1,0)="",0,OFFSET(H204,-1,0)),IF(H$8&lt;$K204,IF(OFFSET(H204,-1,0)="","ERR",OFFSET(H204,-1,0)),""))</f>
        <v/>
      </c>
      <c r="I204" s="11">
        <f>IF($K204=I$8,1+IF(OFFSET(I204,-1,0)="",0,OFFSET(I204,-1,0)),IF(I$8&lt;$K204,IF(OFFSET(I204,-1,0)="","ERR",OFFSET(I204,-1,0)),""))</f>
        <v/>
      </c>
      <c r="J204" s="46">
        <f>_xlfn.TEXTJOIN(".",1,B204:I204)</f>
        <v/>
      </c>
      <c r="K204" s="46" t="inlineStr">
        <is>
          <t>Л7</t>
        </is>
      </c>
      <c r="L204" s="46" t="n"/>
      <c r="M204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204" s="46" t="inlineStr">
        <is>
          <t>шт.</t>
        </is>
      </c>
      <c r="O204" s="94">
        <f>P204+Q204+S204+V204</f>
        <v/>
      </c>
      <c r="P204" s="46" t="n"/>
      <c r="Q204" s="46" t="n"/>
      <c r="R204" s="46" t="n"/>
      <c r="S204" s="46" t="n"/>
      <c r="T204" s="46" t="n"/>
      <c r="U204" s="46" t="n">
        <v>1</v>
      </c>
      <c r="V204" s="46" t="n">
        <v>1</v>
      </c>
      <c r="W204" s="46" t="n"/>
      <c r="X204" s="46" t="n"/>
      <c r="Y204" s="46" t="n"/>
      <c r="Z204" s="46" t="n"/>
      <c r="AA204" s="48" t="n"/>
      <c r="AB204" s="179" t="n"/>
      <c r="AC204" s="189" t="n"/>
      <c r="AD204" s="189">
        <f>SUM(AB204:AC204)</f>
        <v/>
      </c>
      <c r="AE204" s="189">
        <f>AB204*$O204</f>
        <v/>
      </c>
      <c r="AF204" s="189">
        <f>AC204*$O204</f>
        <v/>
      </c>
      <c r="AG204" s="189">
        <f>SUM(AE204:AF204)</f>
        <v/>
      </c>
      <c r="AH204" s="182" t="n"/>
    </row>
    <row r="205" outlineLevel="1">
      <c r="A205" s="18" t="inlineStr">
        <is>
          <t>О</t>
        </is>
      </c>
      <c r="B205" s="11">
        <f>IF($K205=B$8,1+IF(OFFSET(B205,-1,0)="",0,OFFSET(B205,-1,0)),IF(B$8&lt;$K205,IF(OFFSET(B205,-1,0)="","ERR",OFFSET(B205,-1,0)),""))</f>
        <v/>
      </c>
      <c r="C205" s="11">
        <f>IF($K205=C$8,1+IF(OFFSET(C205,-1,0)="",0,OFFSET(C205,-1,0)),IF(C$8&lt;$K205,IF(OFFSET(C205,-1,0)="","ERR",OFFSET(C205,-1,0)),""))</f>
        <v/>
      </c>
      <c r="D205" s="11">
        <f>IF($K205=D$8,1+IF(OFFSET(D205,-1,0)="",0,OFFSET(D205,-1,0)),IF(D$8&lt;$K205,IF(OFFSET(D205,-1,0)="","ERR",OFFSET(D205,-1,0)),""))</f>
        <v/>
      </c>
      <c r="E205" s="11">
        <f>IF($K205=E$8,1+IF(OFFSET(E205,-1,0)="",0,OFFSET(E205,-1,0)),IF(E$8&lt;$K205,IF(OFFSET(E205,-1,0)="","ERR",OFFSET(E205,-1,0)),""))</f>
        <v/>
      </c>
      <c r="F205" s="11">
        <f>IF($K205=F$8,1+IF(OFFSET(F205,-1,0)="",0,OFFSET(F205,-1,0)),IF(F$8&lt;$K205,IF(OFFSET(F205,-1,0)="","ERR",OFFSET(F205,-1,0)),""))</f>
        <v/>
      </c>
      <c r="G205" s="11">
        <f>IF($K205=G$8,1+IF(OFFSET(G205,-1,0)="",0,OFFSET(G205,-1,0)),IF(G$8&lt;$K205,IF(OFFSET(G205,-1,0)="","ERR",OFFSET(G205,-1,0)),""))</f>
        <v/>
      </c>
      <c r="H205" s="11">
        <f>IF($K205=H$8,1+IF(OFFSET(H205,-1,0)="",0,OFFSET(H205,-1,0)),IF(H$8&lt;$K205,IF(OFFSET(H205,-1,0)="","ERR",OFFSET(H205,-1,0)),""))</f>
        <v/>
      </c>
      <c r="I205" s="11">
        <f>IF($K205=I$8,1+IF(OFFSET(I205,-1,0)="",0,OFFSET(I205,-1,0)),IF(I$8&lt;$K205,IF(OFFSET(I205,-1,0)="","ERR",OFFSET(I205,-1,0)),""))</f>
        <v/>
      </c>
      <c r="J205" s="46">
        <f>_xlfn.TEXTJOIN(".",1,B205:I205)</f>
        <v/>
      </c>
      <c r="K205" s="46" t="inlineStr">
        <is>
          <t>Л7</t>
        </is>
      </c>
      <c r="L205" s="46" t="n"/>
      <c r="M205" s="47" t="inlineStr">
        <is>
          <t>Розетка на DIN-рейку с защитным контактом, 16А, 2P, 220В, IP20, РМ-102 16А, Systeme Electric</t>
        </is>
      </c>
      <c r="N205" s="46" t="inlineStr">
        <is>
          <t>шт.</t>
        </is>
      </c>
      <c r="O205" s="94">
        <f>P205+Q205+S205+V205</f>
        <v/>
      </c>
      <c r="P205" s="46" t="n"/>
      <c r="Q205" s="46" t="n"/>
      <c r="R205" s="46" t="n"/>
      <c r="S205" s="46" t="n"/>
      <c r="T205" s="46" t="n"/>
      <c r="U205" s="46" t="n">
        <v>3</v>
      </c>
      <c r="V205" s="46" t="n">
        <v>3</v>
      </c>
      <c r="W205" s="46" t="n"/>
      <c r="X205" s="46" t="n"/>
      <c r="Y205" s="46" t="n"/>
      <c r="Z205" s="46" t="n"/>
      <c r="AA205" s="48" t="n"/>
      <c r="AB205" s="179" t="n"/>
      <c r="AC205" s="189" t="n"/>
      <c r="AD205" s="189">
        <f>SUM(AB205:AC205)</f>
        <v/>
      </c>
      <c r="AE205" s="189">
        <f>AB205*$O205</f>
        <v/>
      </c>
      <c r="AF205" s="189">
        <f>AC205*$O205</f>
        <v/>
      </c>
      <c r="AG205" s="189">
        <f>SUM(AE205:AF205)</f>
        <v/>
      </c>
      <c r="AH205" s="182" t="n"/>
    </row>
    <row r="206" outlineLevel="1">
      <c r="A206" s="18" t="inlineStr">
        <is>
          <t>О</t>
        </is>
      </c>
      <c r="B206" s="11">
        <f>IF($K206=B$8,1+IF(OFFSET(B206,-1,0)="",0,OFFSET(B206,-1,0)),IF(B$8&lt;$K206,IF(OFFSET(B206,-1,0)="","ERR",OFFSET(B206,-1,0)),""))</f>
        <v/>
      </c>
      <c r="C206" s="11">
        <f>IF($K206=C$8,1+IF(OFFSET(C206,-1,0)="",0,OFFSET(C206,-1,0)),IF(C$8&lt;$K206,IF(OFFSET(C206,-1,0)="","ERR",OFFSET(C206,-1,0)),""))</f>
        <v/>
      </c>
      <c r="D206" s="11">
        <f>IF($K206=D$8,1+IF(OFFSET(D206,-1,0)="",0,OFFSET(D206,-1,0)),IF(D$8&lt;$K206,IF(OFFSET(D206,-1,0)="","ERR",OFFSET(D206,-1,0)),""))</f>
        <v/>
      </c>
      <c r="E206" s="11">
        <f>IF($K206=E$8,1+IF(OFFSET(E206,-1,0)="",0,OFFSET(E206,-1,0)),IF(E$8&lt;$K206,IF(OFFSET(E206,-1,0)="","ERR",OFFSET(E206,-1,0)),""))</f>
        <v/>
      </c>
      <c r="F206" s="11">
        <f>IF($K206=F$8,1+IF(OFFSET(F206,-1,0)="",0,OFFSET(F206,-1,0)),IF(F$8&lt;$K206,IF(OFFSET(F206,-1,0)="","ERR",OFFSET(F206,-1,0)),""))</f>
        <v/>
      </c>
      <c r="G206" s="11">
        <f>IF($K206=G$8,1+IF(OFFSET(G206,-1,0)="",0,OFFSET(G206,-1,0)),IF(G$8&lt;$K206,IF(OFFSET(G206,-1,0)="","ERR",OFFSET(G206,-1,0)),""))</f>
        <v/>
      </c>
      <c r="H206" s="11">
        <f>IF($K206=H$8,1+IF(OFFSET(H206,-1,0)="",0,OFFSET(H206,-1,0)),IF(H$8&lt;$K206,IF(OFFSET(H206,-1,0)="","ERR",OFFSET(H206,-1,0)),""))</f>
        <v/>
      </c>
      <c r="I206" s="11">
        <f>IF($K206=I$8,1+IF(OFFSET(I206,-1,0)="",0,OFFSET(I206,-1,0)),IF(I$8&lt;$K206,IF(OFFSET(I206,-1,0)="","ERR",OFFSET(I206,-1,0)),""))</f>
        <v/>
      </c>
      <c r="J206" s="46">
        <f>_xlfn.TEXTJOIN(".",1,B206:I206)</f>
        <v/>
      </c>
      <c r="K206" s="46" t="inlineStr">
        <is>
          <t>Л7</t>
        </is>
      </c>
      <c r="L206" s="46" t="n"/>
      <c r="M206" s="47" t="inlineStr">
        <is>
          <t>Реле контроля однофазного напряжения на DIN-рейку, 1P, 12663, Systeme Electric</t>
        </is>
      </c>
      <c r="N206" s="46" t="inlineStr">
        <is>
          <t>шт.</t>
        </is>
      </c>
      <c r="O206" s="94">
        <f>P206+Q206+S206+V206</f>
        <v/>
      </c>
      <c r="P206" s="46" t="n"/>
      <c r="Q206" s="46" t="n"/>
      <c r="R206" s="46" t="n"/>
      <c r="S206" s="46" t="n"/>
      <c r="T206" s="46" t="n"/>
      <c r="U206" s="46" t="n">
        <v>1</v>
      </c>
      <c r="V206" s="46" t="n">
        <v>1</v>
      </c>
      <c r="W206" s="46" t="n"/>
      <c r="X206" s="46" t="n"/>
      <c r="Y206" s="46" t="n"/>
      <c r="Z206" s="46" t="n"/>
      <c r="AA206" s="48" t="n"/>
      <c r="AB206" s="179" t="n"/>
      <c r="AC206" s="189" t="n"/>
      <c r="AD206" s="189">
        <f>SUM(AB206:AC206)</f>
        <v/>
      </c>
      <c r="AE206" s="189">
        <f>AB206*$O206</f>
        <v/>
      </c>
      <c r="AF206" s="189">
        <f>AC206*$O206</f>
        <v/>
      </c>
      <c r="AG206" s="189">
        <f>SUM(AE206:AF206)</f>
        <v/>
      </c>
      <c r="AH206" s="182" t="n"/>
    </row>
    <row r="207" outlineLevel="1">
      <c r="A207" s="18" t="inlineStr">
        <is>
          <t>О</t>
        </is>
      </c>
      <c r="B207" s="11">
        <f>IF($K207=B$8,1+IF(OFFSET(B207,-1,0)="",0,OFFSET(B207,-1,0)),IF(B$8&lt;$K207,IF(OFFSET(B207,-1,0)="","ERR",OFFSET(B207,-1,0)),""))</f>
        <v/>
      </c>
      <c r="C207" s="11">
        <f>IF($K207=C$8,1+IF(OFFSET(C207,-1,0)="",0,OFFSET(C207,-1,0)),IF(C$8&lt;$K207,IF(OFFSET(C207,-1,0)="","ERR",OFFSET(C207,-1,0)),""))</f>
        <v/>
      </c>
      <c r="D207" s="11">
        <f>IF($K207=D$8,1+IF(OFFSET(D207,-1,0)="",0,OFFSET(D207,-1,0)),IF(D$8&lt;$K207,IF(OFFSET(D207,-1,0)="","ERR",OFFSET(D207,-1,0)),""))</f>
        <v/>
      </c>
      <c r="E207" s="11">
        <f>IF($K207=E$8,1+IF(OFFSET(E207,-1,0)="",0,OFFSET(E207,-1,0)),IF(E$8&lt;$K207,IF(OFFSET(E207,-1,0)="","ERR",OFFSET(E207,-1,0)),""))</f>
        <v/>
      </c>
      <c r="F207" s="11">
        <f>IF($K207=F$8,1+IF(OFFSET(F207,-1,0)="",0,OFFSET(F207,-1,0)),IF(F$8&lt;$K207,IF(OFFSET(F207,-1,0)="","ERR",OFFSET(F207,-1,0)),""))</f>
        <v/>
      </c>
      <c r="G207" s="11">
        <f>IF($K207=G$8,1+IF(OFFSET(G207,-1,0)="",0,OFFSET(G207,-1,0)),IF(G$8&lt;$K207,IF(OFFSET(G207,-1,0)="","ERR",OFFSET(G207,-1,0)),""))</f>
        <v/>
      </c>
      <c r="H207" s="11">
        <f>IF($K207=H$8,1+IF(OFFSET(H207,-1,0)="",0,OFFSET(H207,-1,0)),IF(H$8&lt;$K207,IF(OFFSET(H207,-1,0)="","ERR",OFFSET(H207,-1,0)),""))</f>
        <v/>
      </c>
      <c r="I207" s="11">
        <f>IF($K207=I$8,1+IF(OFFSET(I207,-1,0)="",0,OFFSET(I207,-1,0)),IF(I$8&lt;$K207,IF(OFFSET(I207,-1,0)="","ERR",OFFSET(I207,-1,0)),""))</f>
        <v/>
      </c>
      <c r="J207" s="46">
        <f>_xlfn.TEXTJOIN(".",1,B207:I207)</f>
        <v/>
      </c>
      <c r="K207" s="46" t="inlineStr">
        <is>
          <t>Л7</t>
        </is>
      </c>
      <c r="L207" s="46" t="n"/>
      <c r="M207" s="47" t="inlineStr">
        <is>
          <t>Выключатель автоматический на DIN-рейку, 16А, C, 1P, 1- модульный, C9F14116, Systeme Electric</t>
        </is>
      </c>
      <c r="N207" s="46" t="inlineStr">
        <is>
          <t>шт.</t>
        </is>
      </c>
      <c r="O207" s="94">
        <f>P207+Q207+S207+V207</f>
        <v/>
      </c>
      <c r="P207" s="46" t="n"/>
      <c r="Q207" s="46" t="n"/>
      <c r="R207" s="46" t="n"/>
      <c r="S207" s="46" t="n"/>
      <c r="T207" s="46" t="n"/>
      <c r="U207" s="46" t="n">
        <v>1</v>
      </c>
      <c r="V207" s="46" t="n">
        <v>1</v>
      </c>
      <c r="W207" s="46" t="n"/>
      <c r="X207" s="46" t="n"/>
      <c r="Y207" s="46" t="n"/>
      <c r="Z207" s="46" t="n"/>
      <c r="AA207" s="48" t="n"/>
      <c r="AB207" s="179" t="n"/>
      <c r="AC207" s="189" t="n"/>
      <c r="AD207" s="189">
        <f>SUM(AB207:AC207)</f>
        <v/>
      </c>
      <c r="AE207" s="189">
        <f>AB207*$O207</f>
        <v/>
      </c>
      <c r="AF207" s="189">
        <f>AC207*$O207</f>
        <v/>
      </c>
      <c r="AG207" s="189">
        <f>SUM(AE207:AF207)</f>
        <v/>
      </c>
      <c r="AH207" s="182" t="n"/>
    </row>
    <row r="208" outlineLevel="1">
      <c r="A208" s="18" t="inlineStr">
        <is>
          <t>О</t>
        </is>
      </c>
      <c r="B208" s="11">
        <f>IF($K208=B$8,1+IF(OFFSET(B208,-1,0)="",0,OFFSET(B208,-1,0)),IF(B$8&lt;$K208,IF(OFFSET(B208,-1,0)="","ERR",OFFSET(B208,-1,0)),""))</f>
        <v/>
      </c>
      <c r="C208" s="11">
        <f>IF($K208=C$8,1+IF(OFFSET(C208,-1,0)="",0,OFFSET(C208,-1,0)),IF(C$8&lt;$K208,IF(OFFSET(C208,-1,0)="","ERR",OFFSET(C208,-1,0)),""))</f>
        <v/>
      </c>
      <c r="D208" s="11">
        <f>IF($K208=D$8,1+IF(OFFSET(D208,-1,0)="",0,OFFSET(D208,-1,0)),IF(D$8&lt;$K208,IF(OFFSET(D208,-1,0)="","ERR",OFFSET(D208,-1,0)),""))</f>
        <v/>
      </c>
      <c r="E208" s="11">
        <f>IF($K208=E$8,1+IF(OFFSET(E208,-1,0)="",0,OFFSET(E208,-1,0)),IF(E$8&lt;$K208,IF(OFFSET(E208,-1,0)="","ERR",OFFSET(E208,-1,0)),""))</f>
        <v/>
      </c>
      <c r="F208" s="11">
        <f>IF($K208=F$8,1+IF(OFFSET(F208,-1,0)="",0,OFFSET(F208,-1,0)),IF(F$8&lt;$K208,IF(OFFSET(F208,-1,0)="","ERR",OFFSET(F208,-1,0)),""))</f>
        <v/>
      </c>
      <c r="G208" s="11">
        <f>IF($K208=G$8,1+IF(OFFSET(G208,-1,0)="",0,OFFSET(G208,-1,0)),IF(G$8&lt;$K208,IF(OFFSET(G208,-1,0)="","ERR",OFFSET(G208,-1,0)),""))</f>
        <v/>
      </c>
      <c r="H208" s="11">
        <f>IF($K208=H$8,1+IF(OFFSET(H208,-1,0)="",0,OFFSET(H208,-1,0)),IF(H$8&lt;$K208,IF(OFFSET(H208,-1,0)="","ERR",OFFSET(H208,-1,0)),""))</f>
        <v/>
      </c>
      <c r="I208" s="11">
        <f>IF($K208=I$8,1+IF(OFFSET(I208,-1,0)="",0,OFFSET(I208,-1,0)),IF(I$8&lt;$K208,IF(OFFSET(I208,-1,0)="","ERR",OFFSET(I208,-1,0)),""))</f>
        <v/>
      </c>
      <c r="J208" s="46">
        <f>_xlfn.TEXTJOIN(".",1,B208:I208)</f>
        <v/>
      </c>
      <c r="K208" s="46" t="inlineStr">
        <is>
          <t>Л7</t>
        </is>
      </c>
      <c r="L208" s="46" t="n"/>
      <c r="M208" s="47" t="inlineStr">
        <is>
          <t>Клеммник винтовой на DIN-рейку, NSYTRV22, Systeme Electric</t>
        </is>
      </c>
      <c r="N208" s="46" t="inlineStr">
        <is>
          <t>шт.</t>
        </is>
      </c>
      <c r="O208" s="94">
        <f>P208+Q208+S208+V208</f>
        <v/>
      </c>
      <c r="P208" s="46" t="n"/>
      <c r="Q208" s="46" t="n"/>
      <c r="R208" s="46" t="n"/>
      <c r="S208" s="46" t="n"/>
      <c r="T208" s="46" t="n"/>
      <c r="U208" s="46" t="n">
        <v>2</v>
      </c>
      <c r="V208" s="46" t="n">
        <v>2</v>
      </c>
      <c r="W208" s="46" t="n"/>
      <c r="X208" s="46" t="n"/>
      <c r="Y208" s="46" t="n"/>
      <c r="Z208" s="46" t="n"/>
      <c r="AA208" s="48" t="n"/>
      <c r="AB208" s="179" t="n"/>
      <c r="AC208" s="189" t="n"/>
      <c r="AD208" s="189">
        <f>SUM(AB208:AC208)</f>
        <v/>
      </c>
      <c r="AE208" s="189">
        <f>AB208*$O208</f>
        <v/>
      </c>
      <c r="AF208" s="189">
        <f>AC208*$O208</f>
        <v/>
      </c>
      <c r="AG208" s="189">
        <f>SUM(AE208:AF208)</f>
        <v/>
      </c>
      <c r="AH208" s="182" t="n"/>
    </row>
    <row r="209" outlineLevel="1">
      <c r="A209" s="18" t="inlineStr">
        <is>
          <t>О</t>
        </is>
      </c>
      <c r="B209" s="11">
        <f>IF($K209=B$8,1+IF(OFFSET(B209,-1,0)="",0,OFFSET(B209,-1,0)),IF(B$8&lt;$K209,IF(OFFSET(B209,-1,0)="","ERR",OFFSET(B209,-1,0)),""))</f>
        <v/>
      </c>
      <c r="C209" s="11">
        <f>IF($K209=C$8,1+IF(OFFSET(C209,-1,0)="",0,OFFSET(C209,-1,0)),IF(C$8&lt;$K209,IF(OFFSET(C209,-1,0)="","ERR",OFFSET(C209,-1,0)),""))</f>
        <v/>
      </c>
      <c r="D209" s="11">
        <f>IF($K209=D$8,1+IF(OFFSET(D209,-1,0)="",0,OFFSET(D209,-1,0)),IF(D$8&lt;$K209,IF(OFFSET(D209,-1,0)="","ERR",OFFSET(D209,-1,0)),""))</f>
        <v/>
      </c>
      <c r="E209" s="11">
        <f>IF($K209=E$8,1+IF(OFFSET(E209,-1,0)="",0,OFFSET(E209,-1,0)),IF(E$8&lt;$K209,IF(OFFSET(E209,-1,0)="","ERR",OFFSET(E209,-1,0)),""))</f>
        <v/>
      </c>
      <c r="F209" s="11">
        <f>IF($K209=F$8,1+IF(OFFSET(F209,-1,0)="",0,OFFSET(F209,-1,0)),IF(F$8&lt;$K209,IF(OFFSET(F209,-1,0)="","ERR",OFFSET(F209,-1,0)),""))</f>
        <v/>
      </c>
      <c r="G209" s="11">
        <f>IF($K209=G$8,1+IF(OFFSET(G209,-1,0)="",0,OFFSET(G209,-1,0)),IF(G$8&lt;$K209,IF(OFFSET(G209,-1,0)="","ERR",OFFSET(G209,-1,0)),""))</f>
        <v/>
      </c>
      <c r="H209" s="11">
        <f>IF($K209=H$8,1+IF(OFFSET(H209,-1,0)="",0,OFFSET(H209,-1,0)),IF(H$8&lt;$K209,IF(OFFSET(H209,-1,0)="","ERR",OFFSET(H209,-1,0)),""))</f>
        <v/>
      </c>
      <c r="I209" s="11">
        <f>IF($K209=I$8,1+IF(OFFSET(I209,-1,0)="",0,OFFSET(I209,-1,0)),IF(I$8&lt;$K209,IF(OFFSET(I209,-1,0)="","ERR",OFFSET(I209,-1,0)),""))</f>
        <v/>
      </c>
      <c r="J209" s="46">
        <f>_xlfn.TEXTJOIN(".",1,B209:I209)</f>
        <v/>
      </c>
      <c r="K209" s="46" t="inlineStr">
        <is>
          <t>Л7</t>
        </is>
      </c>
      <c r="L209" s="46" t="n"/>
      <c r="M209" s="47" t="inlineStr">
        <is>
          <t>19″ панель с DIN-рейкой 19", 3U, PS-3U, ТМ «ЦМО»</t>
        </is>
      </c>
      <c r="N209" s="46" t="inlineStr">
        <is>
          <t>шт.</t>
        </is>
      </c>
      <c r="O209" s="94">
        <f>P209+Q209+S209+V209</f>
        <v/>
      </c>
      <c r="P209" s="46" t="n"/>
      <c r="Q209" s="46" t="n"/>
      <c r="R209" s="46" t="n"/>
      <c r="S209" s="46" t="n"/>
      <c r="T209" s="46" t="n"/>
      <c r="U209" s="46" t="n">
        <v>1</v>
      </c>
      <c r="V209" s="46" t="n">
        <v>1</v>
      </c>
      <c r="W209" s="46" t="n"/>
      <c r="X209" s="46" t="n"/>
      <c r="Y209" s="46" t="n"/>
      <c r="Z209" s="46" t="n"/>
      <c r="AA209" s="48" t="n"/>
      <c r="AB209" s="179" t="n"/>
      <c r="AC209" s="189" t="n"/>
      <c r="AD209" s="189">
        <f>SUM(AB209:AC209)</f>
        <v/>
      </c>
      <c r="AE209" s="189">
        <f>AB209*$O209</f>
        <v/>
      </c>
      <c r="AF209" s="189">
        <f>AC209*$O209</f>
        <v/>
      </c>
      <c r="AG209" s="189">
        <f>SUM(AE209:AF209)</f>
        <v/>
      </c>
      <c r="AH209" s="182" t="n"/>
    </row>
    <row r="210" outlineLevel="1">
      <c r="A210" s="18" t="inlineStr">
        <is>
          <t>О</t>
        </is>
      </c>
      <c r="B210" s="11">
        <f>IF($K210=B$8,1+IF(OFFSET(B210,-1,0)="",0,OFFSET(B210,-1,0)),IF(B$8&lt;$K210,IF(OFFSET(B210,-1,0)="","ERR",OFFSET(B210,-1,0)),""))</f>
        <v/>
      </c>
      <c r="C210" s="11">
        <f>IF($K210=C$8,1+IF(OFFSET(C210,-1,0)="",0,OFFSET(C210,-1,0)),IF(C$8&lt;$K210,IF(OFFSET(C210,-1,0)="","ERR",OFFSET(C210,-1,0)),""))</f>
        <v/>
      </c>
      <c r="D210" s="11">
        <f>IF($K210=D$8,1+IF(OFFSET(D210,-1,0)="",0,OFFSET(D210,-1,0)),IF(D$8&lt;$K210,IF(OFFSET(D210,-1,0)="","ERR",OFFSET(D210,-1,0)),""))</f>
        <v/>
      </c>
      <c r="E210" s="11">
        <f>IF($K210=E$8,1+IF(OFFSET(E210,-1,0)="",0,OFFSET(E210,-1,0)),IF(E$8&lt;$K210,IF(OFFSET(E210,-1,0)="","ERR",OFFSET(E210,-1,0)),""))</f>
        <v/>
      </c>
      <c r="F210" s="11">
        <f>IF($K210=F$8,1+IF(OFFSET(F210,-1,0)="",0,OFFSET(F210,-1,0)),IF(F$8&lt;$K210,IF(OFFSET(F210,-1,0)="","ERR",OFFSET(F210,-1,0)),""))</f>
        <v/>
      </c>
      <c r="G210" s="11">
        <f>IF($K210=G$8,1+IF(OFFSET(G210,-1,0)="",0,OFFSET(G210,-1,0)),IF(G$8&lt;$K210,IF(OFFSET(G210,-1,0)="","ERR",OFFSET(G210,-1,0)),""))</f>
        <v/>
      </c>
      <c r="H210" s="11">
        <f>IF($K210=H$8,1+IF(OFFSET(H210,-1,0)="",0,OFFSET(H210,-1,0)),IF(H$8&lt;$K210,IF(OFFSET(H210,-1,0)="","ERR",OFFSET(H210,-1,0)),""))</f>
        <v/>
      </c>
      <c r="I210" s="11">
        <f>IF($K210=I$8,1+IF(OFFSET(I210,-1,0)="",0,OFFSET(I210,-1,0)),IF(I$8&lt;$K210,IF(OFFSET(I210,-1,0)="","ERR",OFFSET(I210,-1,0)),""))</f>
        <v/>
      </c>
      <c r="J210" s="46">
        <f>_xlfn.TEXTJOIN(".",1,B210:I210)</f>
        <v/>
      </c>
      <c r="K210" s="46" t="inlineStr">
        <is>
          <t>Л7</t>
        </is>
      </c>
      <c r="L210" s="46" t="n"/>
      <c r="M210" s="47" t="inlineStr">
        <is>
          <t>Шнур оптический duplex  LC-LC 9/125 sm 1м LSZH, Cabeus FOP(d)-9-LC-LC-1m, Cabeus</t>
        </is>
      </c>
      <c r="N210" s="46" t="inlineStr">
        <is>
          <t>шт.</t>
        </is>
      </c>
      <c r="O210" s="94">
        <f>P210+Q210+S210+V210</f>
        <v/>
      </c>
      <c r="P210" s="46" t="n"/>
      <c r="Q210" s="46" t="n"/>
      <c r="R210" s="46" t="n"/>
      <c r="S210" s="46" t="n"/>
      <c r="T210" s="46" t="n"/>
      <c r="U210" s="46" t="n">
        <v>2</v>
      </c>
      <c r="V210" s="46" t="n">
        <v>2</v>
      </c>
      <c r="W210" s="46" t="n"/>
      <c r="X210" s="46" t="n"/>
      <c r="Y210" s="46" t="n"/>
      <c r="Z210" s="46" t="n"/>
      <c r="AA210" s="48" t="n"/>
      <c r="AB210" s="179" t="n"/>
      <c r="AC210" s="189" t="n"/>
      <c r="AD210" s="189">
        <f>SUM(AB210:AC210)</f>
        <v/>
      </c>
      <c r="AE210" s="189">
        <f>AB210*$O210</f>
        <v/>
      </c>
      <c r="AF210" s="189">
        <f>AC210*$O210</f>
        <v/>
      </c>
      <c r="AG210" s="189">
        <f>SUM(AE210:AF210)</f>
        <v/>
      </c>
      <c r="AH210" s="182" t="n"/>
    </row>
    <row r="211" outlineLevel="1">
      <c r="A211" s="18" t="inlineStr">
        <is>
          <t>О</t>
        </is>
      </c>
      <c r="B211" s="11">
        <f>IF($K211=B$8,1+IF(OFFSET(B211,-1,0)="",0,OFFSET(B211,-1,0)),IF(B$8&lt;$K211,IF(OFFSET(B211,-1,0)="","ERR",OFFSET(B211,-1,0)),""))</f>
        <v/>
      </c>
      <c r="C211" s="11">
        <f>IF($K211=C$8,1+IF(OFFSET(C211,-1,0)="",0,OFFSET(C211,-1,0)),IF(C$8&lt;$K211,IF(OFFSET(C211,-1,0)="","ERR",OFFSET(C211,-1,0)),""))</f>
        <v/>
      </c>
      <c r="D211" s="11">
        <f>IF($K211=D$8,1+IF(OFFSET(D211,-1,0)="",0,OFFSET(D211,-1,0)),IF(D$8&lt;$K211,IF(OFFSET(D211,-1,0)="","ERR",OFFSET(D211,-1,0)),""))</f>
        <v/>
      </c>
      <c r="E211" s="11">
        <f>IF($K211=E$8,1+IF(OFFSET(E211,-1,0)="",0,OFFSET(E211,-1,0)),IF(E$8&lt;$K211,IF(OFFSET(E211,-1,0)="","ERR",OFFSET(E211,-1,0)),""))</f>
        <v/>
      </c>
      <c r="F211" s="11">
        <f>IF($K211=F$8,1+IF(OFFSET(F211,-1,0)="",0,OFFSET(F211,-1,0)),IF(F$8&lt;$K211,IF(OFFSET(F211,-1,0)="","ERR",OFFSET(F211,-1,0)),""))</f>
        <v/>
      </c>
      <c r="G211" s="11">
        <f>IF($K211=G$8,1+IF(OFFSET(G211,-1,0)="",0,OFFSET(G211,-1,0)),IF(G$8&lt;$K211,IF(OFFSET(G211,-1,0)="","ERR",OFFSET(G211,-1,0)),""))</f>
        <v/>
      </c>
      <c r="H211" s="11">
        <f>IF($K211=H$8,1+IF(OFFSET(H211,-1,0)="",0,OFFSET(H211,-1,0)),IF(H$8&lt;$K211,IF(OFFSET(H211,-1,0)="","ERR",OFFSET(H211,-1,0)),""))</f>
        <v/>
      </c>
      <c r="I211" s="11">
        <f>IF($K211=I$8,1+IF(OFFSET(I211,-1,0)="",0,OFFSET(I211,-1,0)),IF(I$8&lt;$K211,IF(OFFSET(I211,-1,0)="","ERR",OFFSET(I211,-1,0)),""))</f>
        <v/>
      </c>
      <c r="J211" s="46">
        <f>_xlfn.TEXTJOIN(".",1,B211:I211)</f>
        <v/>
      </c>
      <c r="K211" s="46" t="inlineStr">
        <is>
          <t>Л7</t>
        </is>
      </c>
      <c r="L211" s="46" t="n"/>
      <c r="M211" s="47" t="inlineStr">
        <is>
          <t>Кабель питания C13 - C14, 1.2м, Cabeus PC-189-VDE-1.0-1.2M, Cabeus</t>
        </is>
      </c>
      <c r="N211" s="46" t="inlineStr">
        <is>
          <t>шт.</t>
        </is>
      </c>
      <c r="O211" s="94">
        <f>P211+Q211+S211+V211</f>
        <v/>
      </c>
      <c r="P211" s="46" t="n"/>
      <c r="Q211" s="46" t="n"/>
      <c r="R211" s="46" t="n"/>
      <c r="S211" s="46" t="n"/>
      <c r="T211" s="46" t="n"/>
      <c r="U211" s="46" t="n">
        <v>1</v>
      </c>
      <c r="V211" s="46" t="n">
        <v>1</v>
      </c>
      <c r="W211" s="46" t="n"/>
      <c r="X211" s="46" t="n"/>
      <c r="Y211" s="46" t="n"/>
      <c r="Z211" s="46" t="n"/>
      <c r="AA211" s="48" t="n"/>
      <c r="AB211" s="179" t="n"/>
      <c r="AC211" s="189" t="n"/>
      <c r="AD211" s="189">
        <f>SUM(AB211:AC211)</f>
        <v/>
      </c>
      <c r="AE211" s="189">
        <f>AB211*$O211</f>
        <v/>
      </c>
      <c r="AF211" s="189">
        <f>AC211*$O211</f>
        <v/>
      </c>
      <c r="AG211" s="189">
        <f>SUM(AE211:AF211)</f>
        <v/>
      </c>
      <c r="AH211" s="182" t="n"/>
    </row>
    <row r="212" outlineLevel="1">
      <c r="A212" s="18" t="inlineStr">
        <is>
          <t>О</t>
        </is>
      </c>
      <c r="B212" s="11">
        <f>IF($K212=B$8,1+IF(OFFSET(B212,-1,0)="",0,OFFSET(B212,-1,0)),IF(B$8&lt;$K212,IF(OFFSET(B212,-1,0)="","ERR",OFFSET(B212,-1,0)),""))</f>
        <v/>
      </c>
      <c r="C212" s="11">
        <f>IF($K212=C$8,1+IF(OFFSET(C212,-1,0)="",0,OFFSET(C212,-1,0)),IF(C$8&lt;$K212,IF(OFFSET(C212,-1,0)="","ERR",OFFSET(C212,-1,0)),""))</f>
        <v/>
      </c>
      <c r="D212" s="11">
        <f>IF($K212=D$8,1+IF(OFFSET(D212,-1,0)="",0,OFFSET(D212,-1,0)),IF(D$8&lt;$K212,IF(OFFSET(D212,-1,0)="","ERR",OFFSET(D212,-1,0)),""))</f>
        <v/>
      </c>
      <c r="E212" s="11">
        <f>IF($K212=E$8,1+IF(OFFSET(E212,-1,0)="",0,OFFSET(E212,-1,0)),IF(E$8&lt;$K212,IF(OFFSET(E212,-1,0)="","ERR",OFFSET(E212,-1,0)),""))</f>
        <v/>
      </c>
      <c r="F212" s="11">
        <f>IF($K212=F$8,1+IF(OFFSET(F212,-1,0)="",0,OFFSET(F212,-1,0)),IF(F$8&lt;$K212,IF(OFFSET(F212,-1,0)="","ERR",OFFSET(F212,-1,0)),""))</f>
        <v/>
      </c>
      <c r="G212" s="11">
        <f>IF($K212=G$8,1+IF(OFFSET(G212,-1,0)="",0,OFFSET(G212,-1,0)),IF(G$8&lt;$K212,IF(OFFSET(G212,-1,0)="","ERR",OFFSET(G212,-1,0)),""))</f>
        <v/>
      </c>
      <c r="H212" s="11">
        <f>IF($K212=H$8,1+IF(OFFSET(H212,-1,0)="",0,OFFSET(H212,-1,0)),IF(H$8&lt;$K212,IF(OFFSET(H212,-1,0)="","ERR",OFFSET(H212,-1,0)),""))</f>
        <v/>
      </c>
      <c r="I212" s="11">
        <f>IF($K212=I$8,1+IF(OFFSET(I212,-1,0)="",0,OFFSET(I212,-1,0)),IF(I$8&lt;$K212,IF(OFFSET(I212,-1,0)="","ERR",OFFSET(I212,-1,0)),""))</f>
        <v/>
      </c>
      <c r="J212" s="46">
        <f>_xlfn.TEXTJOIN(".",1,B212:I212)</f>
        <v/>
      </c>
      <c r="K212" s="46" t="inlineStr">
        <is>
          <t>Л7</t>
        </is>
      </c>
      <c r="L212" s="46" t="n"/>
      <c r="M212" s="47" t="inlineStr">
        <is>
          <t>Кабель питания C13 - CEE 7/7, 1.2м, Cabeus PC-186-VDE-1.0-1.2M, Cabeus</t>
        </is>
      </c>
      <c r="N212" s="46" t="inlineStr">
        <is>
          <t>шт.</t>
        </is>
      </c>
      <c r="O212" s="94">
        <f>P212+Q212+S212+V212</f>
        <v/>
      </c>
      <c r="P212" s="46" t="n"/>
      <c r="Q212" s="46" t="n"/>
      <c r="R212" s="46" t="n"/>
      <c r="S212" s="46" t="n"/>
      <c r="T212" s="46" t="n"/>
      <c r="U212" s="46" t="n">
        <v>1</v>
      </c>
      <c r="V212" s="46" t="n">
        <v>1</v>
      </c>
      <c r="W212" s="46" t="n"/>
      <c r="X212" s="46" t="n"/>
      <c r="Y212" s="46" t="n"/>
      <c r="Z212" s="46" t="n"/>
      <c r="AA212" s="48" t="n"/>
      <c r="AB212" s="179" t="n"/>
      <c r="AC212" s="189" t="n"/>
      <c r="AD212" s="189">
        <f>SUM(AB212:AC212)</f>
        <v/>
      </c>
      <c r="AE212" s="189">
        <f>AB212*$O212</f>
        <v/>
      </c>
      <c r="AF212" s="189">
        <f>AC212*$O212</f>
        <v/>
      </c>
      <c r="AG212" s="189">
        <f>SUM(AE212:AF212)</f>
        <v/>
      </c>
      <c r="AH212" s="182" t="n"/>
    </row>
    <row r="213" outlineLevel="1">
      <c r="A213" s="18" t="inlineStr">
        <is>
          <t>О</t>
        </is>
      </c>
      <c r="B213" s="11">
        <f>IF($K213=B$8,1+IF(OFFSET(B213,-1,0)="",0,OFFSET(B213,-1,0)),IF(B$8&lt;$K213,IF(OFFSET(B213,-1,0)="","ERR",OFFSET(B213,-1,0)),""))</f>
        <v/>
      </c>
      <c r="C213" s="11">
        <f>IF($K213=C$8,1+IF(OFFSET(C213,-1,0)="",0,OFFSET(C213,-1,0)),IF(C$8&lt;$K213,IF(OFFSET(C213,-1,0)="","ERR",OFFSET(C213,-1,0)),""))</f>
        <v/>
      </c>
      <c r="D213" s="11">
        <f>IF($K213=D$8,1+IF(OFFSET(D213,-1,0)="",0,OFFSET(D213,-1,0)),IF(D$8&lt;$K213,IF(OFFSET(D213,-1,0)="","ERR",OFFSET(D213,-1,0)),""))</f>
        <v/>
      </c>
      <c r="E213" s="11">
        <f>IF($K213=E$8,1+IF(OFFSET(E213,-1,0)="",0,OFFSET(E213,-1,0)),IF(E$8&lt;$K213,IF(OFFSET(E213,-1,0)="","ERR",OFFSET(E213,-1,0)),""))</f>
        <v/>
      </c>
      <c r="F213" s="11">
        <f>IF($K213=F$8,1+IF(OFFSET(F213,-1,0)="",0,OFFSET(F213,-1,0)),IF(F$8&lt;$K213,IF(OFFSET(F213,-1,0)="","ERR",OFFSET(F213,-1,0)),""))</f>
        <v/>
      </c>
      <c r="G213" s="11">
        <f>IF($K213=G$8,1+IF(OFFSET(G213,-1,0)="",0,OFFSET(G213,-1,0)),IF(G$8&lt;$K213,IF(OFFSET(G213,-1,0)="","ERR",OFFSET(G213,-1,0)),""))</f>
        <v/>
      </c>
      <c r="H213" s="11">
        <f>IF($K213=H$8,1+IF(OFFSET(H213,-1,0)="",0,OFFSET(H213,-1,0)),IF(H$8&lt;$K213,IF(OFFSET(H213,-1,0)="","ERR",OFFSET(H213,-1,0)),""))</f>
        <v/>
      </c>
      <c r="I213" s="11">
        <f>IF($K213=I$8,1+IF(OFFSET(I213,-1,0)="",0,OFFSET(I213,-1,0)),IF(I$8&lt;$K213,IF(OFFSET(I213,-1,0)="","ERR",OFFSET(I213,-1,0)),""))</f>
        <v/>
      </c>
      <c r="J213" s="46">
        <f>_xlfn.TEXTJOIN(".",1,B213:I213)</f>
        <v/>
      </c>
      <c r="K213" s="46" t="inlineStr">
        <is>
          <t>Л7</t>
        </is>
      </c>
      <c r="L213" s="46" t="n"/>
      <c r="M213" s="47" t="inlineStr">
        <is>
          <t>Розетка компьютерная RJ-45, кат. 6, одинарная, внешняя, Dual IDC., WS-8P8C-Cat.6-1, Cabeus</t>
        </is>
      </c>
      <c r="N213" s="46" t="inlineStr">
        <is>
          <t>шт.</t>
        </is>
      </c>
      <c r="O213" s="94">
        <f>P213+Q213+S213+V213</f>
        <v/>
      </c>
      <c r="P213" s="46" t="n"/>
      <c r="Q213" s="46" t="n"/>
      <c r="R213" s="46" t="n"/>
      <c r="S213" s="46" t="n"/>
      <c r="T213" s="46" t="n"/>
      <c r="U213" s="46" t="n">
        <v>9</v>
      </c>
      <c r="V213" s="46" t="n">
        <v>9</v>
      </c>
      <c r="W213" s="46" t="n"/>
      <c r="X213" s="46" t="n"/>
      <c r="Y213" s="46" t="n"/>
      <c r="Z213" s="46" t="n"/>
      <c r="AA213" s="48" t="n"/>
      <c r="AB213" s="179" t="n"/>
      <c r="AC213" s="189" t="n"/>
      <c r="AD213" s="189">
        <f>SUM(AB213:AC213)</f>
        <v/>
      </c>
      <c r="AE213" s="189">
        <f>AB213*$O213</f>
        <v/>
      </c>
      <c r="AF213" s="189">
        <f>AC213*$O213</f>
        <v/>
      </c>
      <c r="AG213" s="189">
        <f>SUM(AE213:AF213)</f>
        <v/>
      </c>
      <c r="AH213" s="182" t="n"/>
    </row>
    <row r="214" outlineLevel="1">
      <c r="A214" s="18" t="inlineStr">
        <is>
          <t>О</t>
        </is>
      </c>
      <c r="B214" s="11">
        <f>IF($K214=B$8,1+IF(OFFSET(B214,-1,0)="",0,OFFSET(B214,-1,0)),IF(B$8&lt;$K214,IF(OFFSET(B214,-1,0)="","ERR",OFFSET(B214,-1,0)),""))</f>
        <v/>
      </c>
      <c r="C214" s="11">
        <f>IF($K214=C$8,1+IF(OFFSET(C214,-1,0)="",0,OFFSET(C214,-1,0)),IF(C$8&lt;$K214,IF(OFFSET(C214,-1,0)="","ERR",OFFSET(C214,-1,0)),""))</f>
        <v/>
      </c>
      <c r="D214" s="11">
        <f>IF($K214=D$8,1+IF(OFFSET(D214,-1,0)="",0,OFFSET(D214,-1,0)),IF(D$8&lt;$K214,IF(OFFSET(D214,-1,0)="","ERR",OFFSET(D214,-1,0)),""))</f>
        <v/>
      </c>
      <c r="E214" s="11">
        <f>IF($K214=E$8,1+IF(OFFSET(E214,-1,0)="",0,OFFSET(E214,-1,0)),IF(E$8&lt;$K214,IF(OFFSET(E214,-1,0)="","ERR",OFFSET(E214,-1,0)),""))</f>
        <v/>
      </c>
      <c r="F214" s="11">
        <f>IF($K214=F$8,1+IF(OFFSET(F214,-1,0)="",0,OFFSET(F214,-1,0)),IF(F$8&lt;$K214,IF(OFFSET(F214,-1,0)="","ERR",OFFSET(F214,-1,0)),""))</f>
        <v/>
      </c>
      <c r="G214" s="11">
        <f>IF($K214=G$8,1+IF(OFFSET(G214,-1,0)="",0,OFFSET(G214,-1,0)),IF(G$8&lt;$K214,IF(OFFSET(G214,-1,0)="","ERR",OFFSET(G214,-1,0)),""))</f>
        <v/>
      </c>
      <c r="H214" s="11">
        <f>IF($K214=H$8,1+IF(OFFSET(H214,-1,0)="",0,OFFSET(H214,-1,0)),IF(H$8&lt;$K214,IF(OFFSET(H214,-1,0)="","ERR",OFFSET(H214,-1,0)),""))</f>
        <v/>
      </c>
      <c r="I214" s="11">
        <f>IF($K214=I$8,1+IF(OFFSET(I214,-1,0)="",0,OFFSET(I214,-1,0)),IF(I$8&lt;$K214,IF(OFFSET(I214,-1,0)="","ERR",OFFSET(I214,-1,0)),""))</f>
        <v/>
      </c>
      <c r="J214" s="46">
        <f>_xlfn.TEXTJOIN(".",1,B214:I214)</f>
        <v/>
      </c>
      <c r="K214" s="46" t="inlineStr">
        <is>
          <t>Л7</t>
        </is>
      </c>
      <c r="L214" s="46" t="n"/>
      <c r="M214" s="64" t="inlineStr">
        <is>
          <t>Сопутствующие и прочие материалы*</t>
        </is>
      </c>
      <c r="N214" s="46" t="inlineStr">
        <is>
          <t>компл</t>
        </is>
      </c>
      <c r="O214" s="94">
        <f>P214+Q214+S214+V214</f>
        <v/>
      </c>
      <c r="P214" s="46" t="n"/>
      <c r="Q214" s="46" t="n"/>
      <c r="R214" s="46" t="n"/>
      <c r="S214" s="46" t="n"/>
      <c r="T214" s="46" t="n"/>
      <c r="U214" s="46" t="n">
        <v>1</v>
      </c>
      <c r="V214" s="46" t="n">
        <v>1</v>
      </c>
      <c r="W214" s="46" t="n"/>
      <c r="X214" s="46" t="n"/>
      <c r="Y214" s="46" t="n"/>
      <c r="Z214" s="46" t="n"/>
      <c r="AA214" s="48" t="n"/>
      <c r="AB214" s="179" t="n"/>
      <c r="AC214" s="189" t="n"/>
      <c r="AD214" s="189">
        <f>SUM(AB214:AC214)</f>
        <v/>
      </c>
      <c r="AE214" s="189">
        <f>AB214*$O214</f>
        <v/>
      </c>
      <c r="AF214" s="189">
        <f>AC214*$O214</f>
        <v/>
      </c>
      <c r="AG214" s="189">
        <f>SUM(AE214:AF214)</f>
        <v/>
      </c>
      <c r="AH214" s="182" t="n"/>
    </row>
    <row r="215" outlineLevel="1">
      <c r="A215" s="18" t="n"/>
      <c r="B215" s="11">
        <f>IF($K215=B$8,1+IF(OFFSET(B215,-1,0)="",0,OFFSET(B215,-1,0)),IF(B$8&lt;$K215,IF(OFFSET(B215,-1,0)="","ERR",OFFSET(B215,-1,0)),""))</f>
        <v/>
      </c>
      <c r="C215" s="11">
        <f>IF($K215=C$8,1+IF(OFFSET(C215,-1,0)="",0,OFFSET(C215,-1,0)),IF(C$8&lt;$K215,IF(OFFSET(C215,-1,0)="","ERR",OFFSET(C215,-1,0)),""))</f>
        <v/>
      </c>
      <c r="D215" s="11">
        <f>IF($K215=D$8,1+IF(OFFSET(D215,-1,0)="",0,OFFSET(D215,-1,0)),IF(D$8&lt;$K215,IF(OFFSET(D215,-1,0)="","ERR",OFFSET(D215,-1,0)),""))</f>
        <v/>
      </c>
      <c r="E215" s="11">
        <f>IF($K215=E$8,1+IF(OFFSET(E215,-1,0)="",0,OFFSET(E215,-1,0)),IF(E$8&lt;$K215,IF(OFFSET(E215,-1,0)="","ERR",OFFSET(E215,-1,0)),""))</f>
        <v/>
      </c>
      <c r="F215" s="11">
        <f>IF($K215=F$8,1+IF(OFFSET(F215,-1,0)="",0,OFFSET(F215,-1,0)),IF(F$8&lt;$K215,IF(OFFSET(F215,-1,0)="","ERR",OFFSET(F215,-1,0)),""))</f>
        <v/>
      </c>
      <c r="G215" s="11">
        <f>IF($K215=G$8,1+IF(OFFSET(G215,-1,0)="",0,OFFSET(G215,-1,0)),IF(G$8&lt;$K215,IF(OFFSET(G215,-1,0)="","ERR",OFFSET(G215,-1,0)),""))</f>
        <v/>
      </c>
      <c r="H215" s="11">
        <f>IF($K215=H$8,1+IF(OFFSET(H215,-1,0)="",0,OFFSET(H215,-1,0)),IF(H$8&lt;$K215,IF(OFFSET(H215,-1,0)="","ERR",OFFSET(H215,-1,0)),""))</f>
        <v/>
      </c>
      <c r="I215" s="11">
        <f>IF($K215=I$8,1+IF(OFFSET(I215,-1,0)="",0,OFFSET(I215,-1,0)),IF(I$8&lt;$K215,IF(OFFSET(I215,-1,0)="","ERR",OFFSET(I215,-1,0)),""))</f>
        <v/>
      </c>
      <c r="J215" s="43">
        <f>_xlfn.TEXTJOIN(".",1,B215:I215)</f>
        <v/>
      </c>
      <c r="K215" s="43" t="inlineStr">
        <is>
          <t>Л5</t>
        </is>
      </c>
      <c r="L215" s="43" t="inlineStr">
        <is>
          <t>3.3.3.7.2</t>
        </is>
      </c>
      <c r="M215" s="44" t="inlineStr">
        <is>
          <t>Оборудование и приборы</t>
        </is>
      </c>
      <c r="N215" s="43" t="n"/>
      <c r="O215" s="9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5" t="n"/>
      <c r="AB215" s="185" t="n"/>
      <c r="AC215" s="186" t="n"/>
      <c r="AD215" s="186" t="n"/>
      <c r="AE215" s="186" t="n"/>
      <c r="AF215" s="186" t="n"/>
      <c r="AG215" s="186" t="n"/>
      <c r="AH215" s="178" t="n"/>
    </row>
    <row r="216" outlineLevel="1">
      <c r="A216" s="18" t="inlineStr">
        <is>
          <t>О</t>
        </is>
      </c>
      <c r="B216" s="11">
        <f>IF($K216=B$8,1+IF(OFFSET(B216,-1,0)="",0,OFFSET(B216,-1,0)),IF(B$8&lt;$K216,IF(OFFSET(B216,-1,0)="","ERR",OFFSET(B216,-1,0)),""))</f>
        <v/>
      </c>
      <c r="C216" s="11">
        <f>IF($K216=C$8,1+IF(OFFSET(C216,-1,0)="",0,OFFSET(C216,-1,0)),IF(C$8&lt;$K216,IF(OFFSET(C216,-1,0)="","ERR",OFFSET(C216,-1,0)),""))</f>
        <v/>
      </c>
      <c r="D216" s="11">
        <f>IF($K216=D$8,1+IF(OFFSET(D216,-1,0)="",0,OFFSET(D216,-1,0)),IF(D$8&lt;$K216,IF(OFFSET(D216,-1,0)="","ERR",OFFSET(D216,-1,0)),""))</f>
        <v/>
      </c>
      <c r="E216" s="11">
        <f>IF($K216=E$8,1+IF(OFFSET(E216,-1,0)="",0,OFFSET(E216,-1,0)),IF(E$8&lt;$K216,IF(OFFSET(E216,-1,0)="","ERR",OFFSET(E216,-1,0)),""))</f>
        <v/>
      </c>
      <c r="F216" s="11">
        <f>IF($K216=F$8,1+IF(OFFSET(F216,-1,0)="",0,OFFSET(F216,-1,0)),IF(F$8&lt;$K216,IF(OFFSET(F216,-1,0)="","ERR",OFFSET(F216,-1,0)),""))</f>
        <v/>
      </c>
      <c r="G216" s="11">
        <f>IF($K216=G$8,1+IF(OFFSET(G216,-1,0)="",0,OFFSET(G216,-1,0)),IF(G$8&lt;$K216,IF(OFFSET(G216,-1,0)="","ERR",OFFSET(G216,-1,0)),""))</f>
        <v/>
      </c>
      <c r="H216" s="11">
        <f>IF($K216=H$8,1+IF(OFFSET(H216,-1,0)="",0,OFFSET(H216,-1,0)),IF(H$8&lt;$K216,IF(OFFSET(H216,-1,0)="","ERR",OFFSET(H216,-1,0)),""))</f>
        <v/>
      </c>
      <c r="I216" s="11">
        <f>IF($K216=I$8,1+IF(OFFSET(I216,-1,0)="",0,OFFSET(I216,-1,0)),IF(I$8&lt;$K216,IF(OFFSET(I216,-1,0)="","ERR",OFFSET(I216,-1,0)),""))</f>
        <v/>
      </c>
      <c r="J216" s="46">
        <f>_xlfn.TEXTJOIN(".",1,B216:I216)</f>
        <v/>
      </c>
      <c r="K216" s="46" t="inlineStr">
        <is>
          <t>Л6</t>
        </is>
      </c>
      <c r="L216" s="46" t="inlineStr">
        <is>
          <t>3.3.3.7.2.1</t>
        </is>
      </c>
      <c r="M216" s="47" t="inlineStr">
        <is>
          <t>Монтаж сетевого удлинителя с PoE</t>
        </is>
      </c>
      <c r="N216" s="46" t="inlineStr">
        <is>
          <t>шт</t>
        </is>
      </c>
      <c r="O216" s="94">
        <f>P216+Q216+S216+V216</f>
        <v/>
      </c>
      <c r="P216" s="46" t="n"/>
      <c r="Q216" s="46" t="n">
        <v>1</v>
      </c>
      <c r="R216" s="46" t="n">
        <v>1</v>
      </c>
      <c r="S216" s="46" t="n">
        <v>2</v>
      </c>
      <c r="T216" s="46" t="n">
        <v>2</v>
      </c>
      <c r="U216" s="46" t="n">
        <v>12</v>
      </c>
      <c r="V216" s="46" t="n">
        <v>12</v>
      </c>
      <c r="W216" s="46" t="n"/>
      <c r="X216" s="46" t="n"/>
      <c r="Y216" s="46" t="n"/>
      <c r="Z216" s="46" t="n"/>
      <c r="AA216" s="48" t="n"/>
      <c r="AB216" s="187" t="n"/>
      <c r="AC216" s="180" t="n">
        <v>950</v>
      </c>
      <c r="AD216" s="189">
        <f>SUM(AB216:AC216)</f>
        <v/>
      </c>
      <c r="AE216" s="189">
        <f>AB216*$O216</f>
        <v/>
      </c>
      <c r="AF216" s="189">
        <f>AC216*$O216</f>
        <v/>
      </c>
      <c r="AG216" s="189">
        <f>SUM(AE216:AF216)</f>
        <v/>
      </c>
      <c r="AH216" s="182" t="n"/>
    </row>
    <row r="217" outlineLevel="1">
      <c r="A217" s="18" t="inlineStr">
        <is>
          <t>О</t>
        </is>
      </c>
      <c r="B217" s="11">
        <f>IF($K217=B$8,1+IF(OFFSET(B217,-1,0)="",0,OFFSET(B217,-1,0)),IF(B$8&lt;$K217,IF(OFFSET(B217,-1,0)="","ERR",OFFSET(B217,-1,0)),""))</f>
        <v/>
      </c>
      <c r="C217" s="11">
        <f>IF($K217=C$8,1+IF(OFFSET(C217,-1,0)="",0,OFFSET(C217,-1,0)),IF(C$8&lt;$K217,IF(OFFSET(C217,-1,0)="","ERR",OFFSET(C217,-1,0)),""))</f>
        <v/>
      </c>
      <c r="D217" s="11">
        <f>IF($K217=D$8,1+IF(OFFSET(D217,-1,0)="",0,OFFSET(D217,-1,0)),IF(D$8&lt;$K217,IF(OFFSET(D217,-1,0)="","ERR",OFFSET(D217,-1,0)),""))</f>
        <v/>
      </c>
      <c r="E217" s="11">
        <f>IF($K217=E$8,1+IF(OFFSET(E217,-1,0)="",0,OFFSET(E217,-1,0)),IF(E$8&lt;$K217,IF(OFFSET(E217,-1,0)="","ERR",OFFSET(E217,-1,0)),""))</f>
        <v/>
      </c>
      <c r="F217" s="11">
        <f>IF($K217=F$8,1+IF(OFFSET(F217,-1,0)="",0,OFFSET(F217,-1,0)),IF(F$8&lt;$K217,IF(OFFSET(F217,-1,0)="","ERR",OFFSET(F217,-1,0)),""))</f>
        <v/>
      </c>
      <c r="G217" s="11">
        <f>IF($K217=G$8,1+IF(OFFSET(G217,-1,0)="",0,OFFSET(G217,-1,0)),IF(G$8&lt;$K217,IF(OFFSET(G217,-1,0)="","ERR",OFFSET(G217,-1,0)),""))</f>
        <v/>
      </c>
      <c r="H217" s="11">
        <f>IF($K217=H$8,1+IF(OFFSET(H217,-1,0)="",0,OFFSET(H217,-1,0)),IF(H$8&lt;$K217,IF(OFFSET(H217,-1,0)="","ERR",OFFSET(H217,-1,0)),""))</f>
        <v/>
      </c>
      <c r="I217" s="11">
        <f>IF($K217=I$8,1+IF(OFFSET(I217,-1,0)="",0,OFFSET(I217,-1,0)),IF(I$8&lt;$K217,IF(OFFSET(I217,-1,0)="","ERR",OFFSET(I217,-1,0)),""))</f>
        <v/>
      </c>
      <c r="J217" s="49">
        <f>_xlfn.TEXTJOIN(".",1,B217:I217)</f>
        <v/>
      </c>
      <c r="K217" s="49" t="inlineStr">
        <is>
          <t>Л7</t>
        </is>
      </c>
      <c r="L217" s="49" t="n"/>
      <c r="M217" s="63" t="inlineStr">
        <is>
          <t>Монтаж сетевого удлинителя с PoE: Удлинитель Ethernet, LTV-2M01, LTV</t>
        </is>
      </c>
      <c r="N217" s="49" t="inlineStr">
        <is>
          <t>шт</t>
        </is>
      </c>
      <c r="O217" s="50">
        <f>P217+Q217+S217+V217</f>
        <v/>
      </c>
      <c r="P217" s="49" t="n"/>
      <c r="Q217" s="49" t="n">
        <v>1</v>
      </c>
      <c r="R217" s="49" t="n">
        <v>1</v>
      </c>
      <c r="S217" s="49" t="n">
        <v>2</v>
      </c>
      <c r="T217" s="49" t="n">
        <v>2</v>
      </c>
      <c r="U217" s="49" t="n">
        <v>12</v>
      </c>
      <c r="V217" s="49" t="n">
        <v>12</v>
      </c>
      <c r="W217" s="50" t="n">
        <v>1</v>
      </c>
      <c r="X217" s="26" t="n">
        <v>5040070405</v>
      </c>
      <c r="Y217" s="26" t="n">
        <v>772201001</v>
      </c>
      <c r="Z217" s="26" t="inlineStr">
        <is>
          <t>ООО "ЛУИС+"</t>
        </is>
      </c>
      <c r="AA217" s="51" t="inlineStr">
        <is>
          <t>ГТ</t>
        </is>
      </c>
      <c r="AB217" s="188" t="n"/>
      <c r="AC217" s="189" t="n"/>
      <c r="AD217" s="190">
        <f>SUM(AB217:AC217)</f>
        <v/>
      </c>
      <c r="AE217" s="190">
        <f>AB217*$O217*$W217</f>
        <v/>
      </c>
      <c r="AF217" s="190">
        <f>AC217*$O217*$W217</f>
        <v/>
      </c>
      <c r="AG217" s="190">
        <f>SUM(AE217:AF217)</f>
        <v/>
      </c>
      <c r="AH217" s="182" t="n"/>
    </row>
    <row r="218" outlineLevel="1">
      <c r="A218" s="18" t="inlineStr">
        <is>
          <t>О</t>
        </is>
      </c>
      <c r="B218" s="11">
        <f>IF($K218=B$8,1+IF(OFFSET(B218,-1,0)="",0,OFFSET(B218,-1,0)),IF(B$8&lt;$K218,IF(OFFSET(B218,-1,0)="","ERR",OFFSET(B218,-1,0)),""))</f>
        <v/>
      </c>
      <c r="C218" s="11">
        <f>IF($K218=C$8,1+IF(OFFSET(C218,-1,0)="",0,OFFSET(C218,-1,0)),IF(C$8&lt;$K218,IF(OFFSET(C218,-1,0)="","ERR",OFFSET(C218,-1,0)),""))</f>
        <v/>
      </c>
      <c r="D218" s="11">
        <f>IF($K218=D$8,1+IF(OFFSET(D218,-1,0)="",0,OFFSET(D218,-1,0)),IF(D$8&lt;$K218,IF(OFFSET(D218,-1,0)="","ERR",OFFSET(D218,-1,0)),""))</f>
        <v/>
      </c>
      <c r="E218" s="11">
        <f>IF($K218=E$8,1+IF(OFFSET(E218,-1,0)="",0,OFFSET(E218,-1,0)),IF(E$8&lt;$K218,IF(OFFSET(E218,-1,0)="","ERR",OFFSET(E218,-1,0)),""))</f>
        <v/>
      </c>
      <c r="F218" s="11">
        <f>IF($K218=F$8,1+IF(OFFSET(F218,-1,0)="",0,OFFSET(F218,-1,0)),IF(F$8&lt;$K218,IF(OFFSET(F218,-1,0)="","ERR",OFFSET(F218,-1,0)),""))</f>
        <v/>
      </c>
      <c r="G218" s="11">
        <f>IF($K218=G$8,1+IF(OFFSET(G218,-1,0)="",0,OFFSET(G218,-1,0)),IF(G$8&lt;$K218,IF(OFFSET(G218,-1,0)="","ERR",OFFSET(G218,-1,0)),""))</f>
        <v/>
      </c>
      <c r="H218" s="11">
        <f>IF($K218=H$8,1+IF(OFFSET(H218,-1,0)="",0,OFFSET(H218,-1,0)),IF(H$8&lt;$K218,IF(OFFSET(H218,-1,0)="","ERR",OFFSET(H218,-1,0)),""))</f>
        <v/>
      </c>
      <c r="I218" s="11">
        <f>IF($K218=I$8,1+IF(OFFSET(I218,-1,0)="",0,OFFSET(I218,-1,0)),IF(I$8&lt;$K218,IF(OFFSET(I218,-1,0)="","ERR",OFFSET(I218,-1,0)),""))</f>
        <v/>
      </c>
      <c r="J218" s="46">
        <f>_xlfn.TEXTJOIN(".",1,B218:I218)</f>
        <v/>
      </c>
      <c r="K218" s="46" t="inlineStr">
        <is>
          <t>Л7</t>
        </is>
      </c>
      <c r="L218" s="46" t="n"/>
      <c r="M218" s="64" t="inlineStr">
        <is>
          <t>Сопутствующие и прочие материалы*</t>
        </is>
      </c>
      <c r="N218" s="46" t="inlineStr">
        <is>
          <t>шт</t>
        </is>
      </c>
      <c r="O218" s="94">
        <f>P218+Q218+S218+V218</f>
        <v/>
      </c>
      <c r="P218" s="46" t="n"/>
      <c r="Q218" s="46" t="n">
        <v>1</v>
      </c>
      <c r="R218" s="46" t="n">
        <v>1</v>
      </c>
      <c r="S218" s="46" t="n">
        <v>2</v>
      </c>
      <c r="T218" s="46" t="n">
        <v>2</v>
      </c>
      <c r="U218" s="46" t="n">
        <v>12</v>
      </c>
      <c r="V218" s="46" t="n">
        <v>12</v>
      </c>
      <c r="W218" s="46" t="n"/>
      <c r="X218" s="46" t="n"/>
      <c r="Y218" s="46" t="n"/>
      <c r="Z218" s="46" t="n"/>
      <c r="AA218" s="48" t="n"/>
      <c r="AB218" s="179" t="n"/>
      <c r="AC218" s="189" t="n"/>
      <c r="AD218" s="189">
        <f>SUM(AB218:AC218)</f>
        <v/>
      </c>
      <c r="AE218" s="189">
        <f>AB218*$O218</f>
        <v/>
      </c>
      <c r="AF218" s="189">
        <f>AC218*$O218</f>
        <v/>
      </c>
      <c r="AG218" s="189">
        <f>SUM(AE218:AF218)</f>
        <v/>
      </c>
      <c r="AH218" s="182" t="n"/>
    </row>
    <row r="219" outlineLevel="1" ht="25.5" customHeight="1">
      <c r="A219" s="18" t="inlineStr">
        <is>
          <t>О</t>
        </is>
      </c>
      <c r="B219" s="11">
        <f>IF($K219=B$8,1+IF(OFFSET(B219,-1,0)="",0,OFFSET(B219,-1,0)),IF(B$8&lt;$K219,IF(OFFSET(B219,-1,0)="","ERR",OFFSET(B219,-1,0)),""))</f>
        <v/>
      </c>
      <c r="C219" s="11">
        <f>IF($K219=C$8,1+IF(OFFSET(C219,-1,0)="",0,OFFSET(C219,-1,0)),IF(C$8&lt;$K219,IF(OFFSET(C219,-1,0)="","ERR",OFFSET(C219,-1,0)),""))</f>
        <v/>
      </c>
      <c r="D219" s="11">
        <f>IF($K219=D$8,1+IF(OFFSET(D219,-1,0)="",0,OFFSET(D219,-1,0)),IF(D$8&lt;$K219,IF(OFFSET(D219,-1,0)="","ERR",OFFSET(D219,-1,0)),""))</f>
        <v/>
      </c>
      <c r="E219" s="11">
        <f>IF($K219=E$8,1+IF(OFFSET(E219,-1,0)="",0,OFFSET(E219,-1,0)),IF(E$8&lt;$K219,IF(OFFSET(E219,-1,0)="","ERR",OFFSET(E219,-1,0)),""))</f>
        <v/>
      </c>
      <c r="F219" s="11">
        <f>IF($K219=F$8,1+IF(OFFSET(F219,-1,0)="",0,OFFSET(F219,-1,0)),IF(F$8&lt;$K219,IF(OFFSET(F219,-1,0)="","ERR",OFFSET(F219,-1,0)),""))</f>
        <v/>
      </c>
      <c r="G219" s="11">
        <f>IF($K219=G$8,1+IF(OFFSET(G219,-1,0)="",0,OFFSET(G219,-1,0)),IF(G$8&lt;$K219,IF(OFFSET(G219,-1,0)="","ERR",OFFSET(G219,-1,0)),""))</f>
        <v/>
      </c>
      <c r="H219" s="11">
        <f>IF($K219=H$8,1+IF(OFFSET(H219,-1,0)="",0,OFFSET(H219,-1,0)),IF(H$8&lt;$K219,IF(OFFSET(H219,-1,0)="","ERR",OFFSET(H219,-1,0)),""))</f>
        <v/>
      </c>
      <c r="I219" s="11">
        <f>IF($K219=I$8,1+IF(OFFSET(I219,-1,0)="",0,OFFSET(I219,-1,0)),IF(I$8&lt;$K219,IF(OFFSET(I219,-1,0)="","ERR",OFFSET(I219,-1,0)),""))</f>
        <v/>
      </c>
      <c r="J219" s="46">
        <f>_xlfn.TEXTJOIN(".",1,B219:I219)</f>
        <v/>
      </c>
      <c r="K219" s="46" t="inlineStr">
        <is>
          <t>Л6</t>
        </is>
      </c>
      <c r="L219" s="46" t="inlineStr">
        <is>
          <t>3.3.3.7.2.2</t>
        </is>
      </c>
      <c r="M219" s="47" t="inlineStr">
        <is>
          <t>Монтаж точки доступа: Двухдиапазонная Wi-Fi 6 точка доступа AX3600 с поддержкой MU-MIMO, PoE, Nuclias Connect и 8 внутренними антеннами, DAP-X2850, D-Link</t>
        </is>
      </c>
      <c r="N219" s="46" t="inlineStr">
        <is>
          <t>шт</t>
        </is>
      </c>
      <c r="O219" s="94">
        <f>P219+Q219+S219+V219</f>
        <v/>
      </c>
      <c r="P219" s="46" t="n">
        <v>38</v>
      </c>
      <c r="Q219" s="46" t="n">
        <v>2</v>
      </c>
      <c r="R219" s="46" t="n">
        <v>2</v>
      </c>
      <c r="S219" s="46" t="n">
        <v>2</v>
      </c>
      <c r="T219" s="46" t="n">
        <v>2</v>
      </c>
      <c r="U219" s="46" t="n">
        <v>2</v>
      </c>
      <c r="V219" s="46" t="n">
        <v>2</v>
      </c>
      <c r="W219" s="46" t="n"/>
      <c r="X219" s="46" t="n"/>
      <c r="Y219" s="46" t="n"/>
      <c r="Z219" s="46" t="n"/>
      <c r="AA219" s="48" t="n"/>
      <c r="AB219" s="179" t="n"/>
      <c r="AC219" s="180" t="n">
        <v>2200</v>
      </c>
      <c r="AD219" s="189">
        <f>SUM(AB219:AC219)</f>
        <v/>
      </c>
      <c r="AE219" s="189">
        <f>AB219*$O219</f>
        <v/>
      </c>
      <c r="AF219" s="189">
        <f>AC219*$O219</f>
        <v/>
      </c>
      <c r="AG219" s="189">
        <f>SUM(AE219:AF219)</f>
        <v/>
      </c>
      <c r="AH219" s="182" t="n"/>
    </row>
    <row r="220" outlineLevel="1">
      <c r="A220" s="18" t="n"/>
      <c r="B220" s="11">
        <f>IF($K220=B$8,1+IF(OFFSET(B220,-1,0)="",0,OFFSET(B220,-1,0)),IF(B$8&lt;$K220,IF(OFFSET(B220,-1,0)="","ERR",OFFSET(B220,-1,0)),""))</f>
        <v/>
      </c>
      <c r="C220" s="11">
        <f>IF($K220=C$8,1+IF(OFFSET(C220,-1,0)="",0,OFFSET(C220,-1,0)),IF(C$8&lt;$K220,IF(OFFSET(C220,-1,0)="","ERR",OFFSET(C220,-1,0)),""))</f>
        <v/>
      </c>
      <c r="D220" s="11">
        <f>IF($K220=D$8,1+IF(OFFSET(D220,-1,0)="",0,OFFSET(D220,-1,0)),IF(D$8&lt;$K220,IF(OFFSET(D220,-1,0)="","ERR",OFFSET(D220,-1,0)),""))</f>
        <v/>
      </c>
      <c r="E220" s="11">
        <f>IF($K220=E$8,1+IF(OFFSET(E220,-1,0)="",0,OFFSET(E220,-1,0)),IF(E$8&lt;$K220,IF(OFFSET(E220,-1,0)="","ERR",OFFSET(E220,-1,0)),""))</f>
        <v/>
      </c>
      <c r="F220" s="11">
        <f>IF($K220=F$8,1+IF(OFFSET(F220,-1,0)="",0,OFFSET(F220,-1,0)),IF(F$8&lt;$K220,IF(OFFSET(F220,-1,0)="","ERR",OFFSET(F220,-1,0)),""))</f>
        <v/>
      </c>
      <c r="G220" s="11">
        <f>IF($K220=G$8,1+IF(OFFSET(G220,-1,0)="",0,OFFSET(G220,-1,0)),IF(G$8&lt;$K220,IF(OFFSET(G220,-1,0)="","ERR",OFFSET(G220,-1,0)),""))</f>
        <v/>
      </c>
      <c r="H220" s="11">
        <f>IF($K220=H$8,1+IF(OFFSET(H220,-1,0)="",0,OFFSET(H220,-1,0)),IF(H$8&lt;$K220,IF(OFFSET(H220,-1,0)="","ERR",OFFSET(H220,-1,0)),""))</f>
        <v/>
      </c>
      <c r="I220" s="11">
        <f>IF($K220=I$8,1+IF(OFFSET(I220,-1,0)="",0,OFFSET(I220,-1,0)),IF(I$8&lt;$K220,IF(OFFSET(I220,-1,0)="","ERR",OFFSET(I220,-1,0)),""))</f>
        <v/>
      </c>
      <c r="J220" s="43">
        <f>_xlfn.TEXTJOIN(".",1,B220:I220)</f>
        <v/>
      </c>
      <c r="K220" s="43" t="inlineStr">
        <is>
          <t>Л5</t>
        </is>
      </c>
      <c r="L220" s="43" t="inlineStr">
        <is>
          <t>3.3.3.7.3</t>
        </is>
      </c>
      <c r="M220" s="44" t="inlineStr">
        <is>
          <t>Кабельно-проводниковая продукция</t>
        </is>
      </c>
      <c r="N220" s="43" t="n"/>
      <c r="O220" s="9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5" t="n"/>
      <c r="AB220" s="185" t="n"/>
      <c r="AC220" s="186" t="n"/>
      <c r="AD220" s="186" t="n"/>
      <c r="AE220" s="186" t="n"/>
      <c r="AF220" s="186" t="n"/>
      <c r="AG220" s="186" t="n"/>
      <c r="AH220" s="178" t="n"/>
    </row>
    <row r="221" outlineLevel="1" ht="25.5" customHeight="1">
      <c r="A221" s="18" t="inlineStr">
        <is>
          <t>О</t>
        </is>
      </c>
      <c r="B221" s="11">
        <f>IF($K221=B$8,1+IF(OFFSET(B221,-1,0)="",0,OFFSET(B221,-1,0)),IF(B$8&lt;$K221,IF(OFFSET(B221,-1,0)="","ERR",OFFSET(B221,-1,0)),""))</f>
        <v/>
      </c>
      <c r="C221" s="11">
        <f>IF($K221=C$8,1+IF(OFFSET(C221,-1,0)="",0,OFFSET(C221,-1,0)),IF(C$8&lt;$K221,IF(OFFSET(C221,-1,0)="","ERR",OFFSET(C221,-1,0)),""))</f>
        <v/>
      </c>
      <c r="D221" s="11">
        <f>IF($K221=D$8,1+IF(OFFSET(D221,-1,0)="",0,OFFSET(D221,-1,0)),IF(D$8&lt;$K221,IF(OFFSET(D221,-1,0)="","ERR",OFFSET(D221,-1,0)),""))</f>
        <v/>
      </c>
      <c r="E221" s="11">
        <f>IF($K221=E$8,1+IF(OFFSET(E221,-1,0)="",0,OFFSET(E221,-1,0)),IF(E$8&lt;$K221,IF(OFFSET(E221,-1,0)="","ERR",OFFSET(E221,-1,0)),""))</f>
        <v/>
      </c>
      <c r="F221" s="11">
        <f>IF($K221=F$8,1+IF(OFFSET(F221,-1,0)="",0,OFFSET(F221,-1,0)),IF(F$8&lt;$K221,IF(OFFSET(F221,-1,0)="","ERR",OFFSET(F221,-1,0)),""))</f>
        <v/>
      </c>
      <c r="G221" s="11">
        <f>IF($K221=G$8,1+IF(OFFSET(G221,-1,0)="",0,OFFSET(G221,-1,0)),IF(G$8&lt;$K221,IF(OFFSET(G221,-1,0)="","ERR",OFFSET(G221,-1,0)),""))</f>
        <v/>
      </c>
      <c r="H221" s="11">
        <f>IF($K221=H$8,1+IF(OFFSET(H221,-1,0)="",0,OFFSET(H221,-1,0)),IF(H$8&lt;$K221,IF(OFFSET(H221,-1,0)="","ERR",OFFSET(H221,-1,0)),""))</f>
        <v/>
      </c>
      <c r="I221" s="11">
        <f>IF($K221=I$8,1+IF(OFFSET(I221,-1,0)="",0,OFFSET(I221,-1,0)),IF(I$8&lt;$K221,IF(OFFSET(I221,-1,0)="","ERR",OFFSET(I221,-1,0)),""))</f>
        <v/>
      </c>
      <c r="J221" s="46">
        <f>_xlfn.TEXTJOIN(".",1,B221:I221)</f>
        <v/>
      </c>
      <c r="K221" s="46" t="inlineStr">
        <is>
          <t>Л6</t>
        </is>
      </c>
      <c r="L221" s="46" t="inlineStr">
        <is>
          <t>3.3.3.7.3.1</t>
        </is>
      </c>
      <c r="M221" s="47" t="inlineStr">
        <is>
          <t>Прокладка кабеля/провода слаботочных систем и автоматики по конструкциям и в трубах здания: ParLan U/UTP Cat6 ZH нг(А)-HF 4х2х0,57</t>
        </is>
      </c>
      <c r="N221" s="46" t="inlineStr">
        <is>
          <t>пог. м</t>
        </is>
      </c>
      <c r="O221" s="94">
        <f>P221+Q221+S221+V221</f>
        <v/>
      </c>
      <c r="P221" s="46" t="n"/>
      <c r="Q221" s="46">
        <f>755+460</f>
        <v/>
      </c>
      <c r="R221" s="46">
        <f>755+460</f>
        <v/>
      </c>
      <c r="S221" s="46">
        <f>395+380</f>
        <v/>
      </c>
      <c r="T221" s="46">
        <f>395+380</f>
        <v/>
      </c>
      <c r="U221" s="46">
        <f>570+590</f>
        <v/>
      </c>
      <c r="V221" s="46">
        <f>570+590</f>
        <v/>
      </c>
      <c r="W221" s="46" t="n"/>
      <c r="X221" s="46" t="n"/>
      <c r="Y221" s="46" t="n"/>
      <c r="Z221" s="46" t="n"/>
      <c r="AA221" s="48" t="n"/>
      <c r="AB221" s="179" t="n"/>
      <c r="AC221" s="180" t="n">
        <v>78</v>
      </c>
      <c r="AD221" s="189">
        <f>SUM(AB221:AC221)</f>
        <v/>
      </c>
      <c r="AE221" s="189">
        <f>AB221*$O221</f>
        <v/>
      </c>
      <c r="AF221" s="189">
        <f>AC221*$O221</f>
        <v/>
      </c>
      <c r="AG221" s="189">
        <f>SUM(AE221:AF221)</f>
        <v/>
      </c>
      <c r="AH221" s="182" t="n"/>
    </row>
    <row r="222" outlineLevel="1" ht="25.5" customHeight="1">
      <c r="A222" s="18" t="inlineStr">
        <is>
          <t>О</t>
        </is>
      </c>
      <c r="B222" s="11">
        <f>IF($K222=B$8,1+IF(OFFSET(B222,-1,0)="",0,OFFSET(B222,-1,0)),IF(B$8&lt;$K222,IF(OFFSET(B222,-1,0)="","ERR",OFFSET(B222,-1,0)),""))</f>
        <v/>
      </c>
      <c r="C222" s="11">
        <f>IF($K222=C$8,1+IF(OFFSET(C222,-1,0)="",0,OFFSET(C222,-1,0)),IF(C$8&lt;$K222,IF(OFFSET(C222,-1,0)="","ERR",OFFSET(C222,-1,0)),""))</f>
        <v/>
      </c>
      <c r="D222" s="11">
        <f>IF($K222=D$8,1+IF(OFFSET(D222,-1,0)="",0,OFFSET(D222,-1,0)),IF(D$8&lt;$K222,IF(OFFSET(D222,-1,0)="","ERR",OFFSET(D222,-1,0)),""))</f>
        <v/>
      </c>
      <c r="E222" s="11">
        <f>IF($K222=E$8,1+IF(OFFSET(E222,-1,0)="",0,OFFSET(E222,-1,0)),IF(E$8&lt;$K222,IF(OFFSET(E222,-1,0)="","ERR",OFFSET(E222,-1,0)),""))</f>
        <v/>
      </c>
      <c r="F222" s="11">
        <f>IF($K222=F$8,1+IF(OFFSET(F222,-1,0)="",0,OFFSET(F222,-1,0)),IF(F$8&lt;$K222,IF(OFFSET(F222,-1,0)="","ERR",OFFSET(F222,-1,0)),""))</f>
        <v/>
      </c>
      <c r="G222" s="11">
        <f>IF($K222=G$8,1+IF(OFFSET(G222,-1,0)="",0,OFFSET(G222,-1,0)),IF(G$8&lt;$K222,IF(OFFSET(G222,-1,0)="","ERR",OFFSET(G222,-1,0)),""))</f>
        <v/>
      </c>
      <c r="H222" s="11">
        <f>IF($K222=H$8,1+IF(OFFSET(H222,-1,0)="",0,OFFSET(H222,-1,0)),IF(H$8&lt;$K222,IF(OFFSET(H222,-1,0)="","ERR",OFFSET(H222,-1,0)),""))</f>
        <v/>
      </c>
      <c r="I222" s="11">
        <f>IF($K222=I$8,1+IF(OFFSET(I222,-1,0)="",0,OFFSET(I222,-1,0)),IF(I$8&lt;$K222,IF(OFFSET(I222,-1,0)="","ERR",OFFSET(I222,-1,0)),""))</f>
        <v/>
      </c>
      <c r="J222" s="46">
        <f>_xlfn.TEXTJOIN(".",1,B222:I222)</f>
        <v/>
      </c>
      <c r="K222" s="46" t="inlineStr">
        <is>
          <t>Л6</t>
        </is>
      </c>
      <c r="L222" s="46" t="inlineStr">
        <is>
          <t>3.3.3.7.3.3</t>
        </is>
      </c>
      <c r="M222" s="47" t="inlineStr">
        <is>
          <t>Прокладка волоконно-оптического кабеля емкостью до 16 волокон по конструкциям и в трубах здания: ОБР-В нг(A)-HF 8 G.657А1</t>
        </is>
      </c>
      <c r="N222" s="46" t="inlineStr">
        <is>
          <t>пог. м</t>
        </is>
      </c>
      <c r="O222" s="94">
        <f>P222+Q222+S222+V222</f>
        <v/>
      </c>
      <c r="P222" s="46" t="n"/>
      <c r="Q222" s="46">
        <f>155+160+175+16</f>
        <v/>
      </c>
      <c r="R222" s="46">
        <f>155+160+175+16</f>
        <v/>
      </c>
      <c r="S222" s="46">
        <f>50+275+16</f>
        <v/>
      </c>
      <c r="T222" s="46">
        <f>50+275+16</f>
        <v/>
      </c>
      <c r="U222" s="46">
        <f>110+18</f>
        <v/>
      </c>
      <c r="V222" s="46">
        <f>110+18</f>
        <v/>
      </c>
      <c r="W222" s="46" t="n"/>
      <c r="X222" s="46" t="n"/>
      <c r="Y222" s="46" t="n"/>
      <c r="Z222" s="46" t="n"/>
      <c r="AA222" s="48" t="n"/>
      <c r="AB222" s="179" t="n"/>
      <c r="AC222" s="180" t="n">
        <v>110</v>
      </c>
      <c r="AD222" s="189">
        <f>SUM(AB222:AC222)</f>
        <v/>
      </c>
      <c r="AE222" s="189">
        <f>AB222*$O222</f>
        <v/>
      </c>
      <c r="AF222" s="189">
        <f>AC222*$O222</f>
        <v/>
      </c>
      <c r="AG222" s="189">
        <f>SUM(AE222:AF222)</f>
        <v/>
      </c>
      <c r="AH222" s="182" t="n"/>
    </row>
    <row r="223" outlineLevel="1">
      <c r="A223" s="18" t="n"/>
      <c r="B223" s="11">
        <f>IF($K223=B$8,1+IF(OFFSET(B223,-1,0)="",0,OFFSET(B223,-1,0)),IF(B$8&lt;$K223,IF(OFFSET(B223,-1,0)="","ERR",OFFSET(B223,-1,0)),""))</f>
        <v/>
      </c>
      <c r="C223" s="11">
        <f>IF($K223=C$8,1+IF(OFFSET(C223,-1,0)="",0,OFFSET(C223,-1,0)),IF(C$8&lt;$K223,IF(OFFSET(C223,-1,0)="","ERR",OFFSET(C223,-1,0)),""))</f>
        <v/>
      </c>
      <c r="D223" s="11">
        <f>IF($K223=D$8,1+IF(OFFSET(D223,-1,0)="",0,OFFSET(D223,-1,0)),IF(D$8&lt;$K223,IF(OFFSET(D223,-1,0)="","ERR",OFFSET(D223,-1,0)),""))</f>
        <v/>
      </c>
      <c r="E223" s="11">
        <f>IF($K223=E$8,1+IF(OFFSET(E223,-1,0)="",0,OFFSET(E223,-1,0)),IF(E$8&lt;$K223,IF(OFFSET(E223,-1,0)="","ERR",OFFSET(E223,-1,0)),""))</f>
        <v/>
      </c>
      <c r="F223" s="11">
        <f>IF($K223=F$8,1+IF(OFFSET(F223,-1,0)="",0,OFFSET(F223,-1,0)),IF(F$8&lt;$K223,IF(OFFSET(F223,-1,0)="","ERR",OFFSET(F223,-1,0)),""))</f>
        <v/>
      </c>
      <c r="G223" s="11">
        <f>IF($K223=G$8,1+IF(OFFSET(G223,-1,0)="",0,OFFSET(G223,-1,0)),IF(G$8&lt;$K223,IF(OFFSET(G223,-1,0)="","ERR",OFFSET(G223,-1,0)),""))</f>
        <v/>
      </c>
      <c r="H223" s="11">
        <f>IF($K223=H$8,1+IF(OFFSET(H223,-1,0)="",0,OFFSET(H223,-1,0)),IF(H$8&lt;$K223,IF(OFFSET(H223,-1,0)="","ERR",OFFSET(H223,-1,0)),""))</f>
        <v/>
      </c>
      <c r="I223" s="11">
        <f>IF($K223=I$8,1+IF(OFFSET(I223,-1,0)="",0,OFFSET(I223,-1,0)),IF(I$8&lt;$K223,IF(OFFSET(I223,-1,0)="","ERR",OFFSET(I223,-1,0)),""))</f>
        <v/>
      </c>
      <c r="J223" s="43">
        <f>_xlfn.TEXTJOIN(".",1,B223:I223)</f>
        <v/>
      </c>
      <c r="K223" s="43" t="inlineStr">
        <is>
          <t>Л5</t>
        </is>
      </c>
      <c r="L223" s="43" t="inlineStr">
        <is>
          <t>3.3.3.7.4</t>
        </is>
      </c>
      <c r="M223" s="44" t="inlineStr">
        <is>
          <t>Трубы, гофра, кабеленесущие конструкции</t>
        </is>
      </c>
      <c r="N223" s="43" t="n"/>
      <c r="O223" s="9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5" t="n"/>
      <c r="AB223" s="185" t="n"/>
      <c r="AC223" s="186" t="n"/>
      <c r="AD223" s="186" t="n"/>
      <c r="AE223" s="186" t="n"/>
      <c r="AF223" s="186" t="n"/>
      <c r="AG223" s="186" t="n"/>
      <c r="AH223" s="178" t="n"/>
    </row>
    <row r="224" outlineLevel="1" ht="25.5" customHeight="1">
      <c r="A224" s="18" t="inlineStr">
        <is>
          <t>О</t>
        </is>
      </c>
      <c r="B224" s="11">
        <f>IF($K224=B$8,1+IF(OFFSET(B224,-1,0)="",0,OFFSET(B224,-1,0)),IF(B$8&lt;$K224,IF(OFFSET(B224,-1,0)="","ERR",OFFSET(B224,-1,0)),""))</f>
        <v/>
      </c>
      <c r="C224" s="11">
        <f>IF($K224=C$8,1+IF(OFFSET(C224,-1,0)="",0,OFFSET(C224,-1,0)),IF(C$8&lt;$K224,IF(OFFSET(C224,-1,0)="","ERR",OFFSET(C224,-1,0)),""))</f>
        <v/>
      </c>
      <c r="D224" s="11">
        <f>IF($K224=D$8,1+IF(OFFSET(D224,-1,0)="",0,OFFSET(D224,-1,0)),IF(D$8&lt;$K224,IF(OFFSET(D224,-1,0)="","ERR",OFFSET(D224,-1,0)),""))</f>
        <v/>
      </c>
      <c r="E224" s="11">
        <f>IF($K224=E$8,1+IF(OFFSET(E224,-1,0)="",0,OFFSET(E224,-1,0)),IF(E$8&lt;$K224,IF(OFFSET(E224,-1,0)="","ERR",OFFSET(E224,-1,0)),""))</f>
        <v/>
      </c>
      <c r="F224" s="11">
        <f>IF($K224=F$8,1+IF(OFFSET(F224,-1,0)="",0,OFFSET(F224,-1,0)),IF(F$8&lt;$K224,IF(OFFSET(F224,-1,0)="","ERR",OFFSET(F224,-1,0)),""))</f>
        <v/>
      </c>
      <c r="G224" s="11">
        <f>IF($K224=G$8,1+IF(OFFSET(G224,-1,0)="",0,OFFSET(G224,-1,0)),IF(G$8&lt;$K224,IF(OFFSET(G224,-1,0)="","ERR",OFFSET(G224,-1,0)),""))</f>
        <v/>
      </c>
      <c r="H224" s="11">
        <f>IF($K224=H$8,1+IF(OFFSET(H224,-1,0)="",0,OFFSET(H224,-1,0)),IF(H$8&lt;$K224,IF(OFFSET(H224,-1,0)="","ERR",OFFSET(H224,-1,0)),""))</f>
        <v/>
      </c>
      <c r="I224" s="11">
        <f>IF($K224=I$8,1+IF(OFFSET(I224,-1,0)="",0,OFFSET(I224,-1,0)),IF(I$8&lt;$K224,IF(OFFSET(I224,-1,0)="","ERR",OFFSET(I224,-1,0)),""))</f>
        <v/>
      </c>
      <c r="J224" s="46">
        <f>_xlfn.TEXTJOIN(".",1,B224:I224)</f>
        <v/>
      </c>
      <c r="K224" s="46" t="inlineStr">
        <is>
          <t>Л6</t>
        </is>
      </c>
      <c r="L224" s="46" t="inlineStr">
        <is>
          <t>3.3.3.7.4.1</t>
        </is>
      </c>
      <c r="M224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24" s="46" t="inlineStr">
        <is>
          <t>пог. м</t>
        </is>
      </c>
      <c r="O224" s="94">
        <f>P224+Q224+S224+V224</f>
        <v/>
      </c>
      <c r="P224" s="46" t="n"/>
      <c r="Q224" s="46" t="n">
        <v>638</v>
      </c>
      <c r="R224" s="46" t="n">
        <v>638</v>
      </c>
      <c r="S224" s="46" t="n">
        <v>585</v>
      </c>
      <c r="T224" s="46" t="n">
        <v>585</v>
      </c>
      <c r="U224" s="46" t="n">
        <v>632</v>
      </c>
      <c r="V224" s="46" t="n">
        <v>632</v>
      </c>
      <c r="W224" s="46" t="n"/>
      <c r="X224" s="46" t="n"/>
      <c r="Y224" s="46" t="n"/>
      <c r="Z224" s="46" t="n"/>
      <c r="AA224" s="48" t="n"/>
      <c r="AB224" s="179" t="n"/>
      <c r="AC224" s="180" t="n">
        <v>52</v>
      </c>
      <c r="AD224" s="189">
        <f>SUM(AB224:AC224)</f>
        <v/>
      </c>
      <c r="AE224" s="189">
        <f>AB224*$O224</f>
        <v/>
      </c>
      <c r="AF224" s="189">
        <f>AC224*$O224</f>
        <v/>
      </c>
      <c r="AG224" s="189">
        <f>SUM(AE224:AF224)</f>
        <v/>
      </c>
      <c r="AH224" s="182" t="n"/>
    </row>
    <row r="225" outlineLevel="1" ht="25.5" customHeight="1">
      <c r="A225" s="18" t="inlineStr">
        <is>
          <t>О</t>
        </is>
      </c>
      <c r="B225" s="11">
        <f>IF($K225=B$8,1+IF(OFFSET(B225,-1,0)="",0,OFFSET(B225,-1,0)),IF(B$8&lt;$K225,IF(OFFSET(B225,-1,0)="","ERR",OFFSET(B225,-1,0)),""))</f>
        <v/>
      </c>
      <c r="C225" s="11">
        <f>IF($K225=C$8,1+IF(OFFSET(C225,-1,0)="",0,OFFSET(C225,-1,0)),IF(C$8&lt;$K225,IF(OFFSET(C225,-1,0)="","ERR",OFFSET(C225,-1,0)),""))</f>
        <v/>
      </c>
      <c r="D225" s="11">
        <f>IF($K225=D$8,1+IF(OFFSET(D225,-1,0)="",0,OFFSET(D225,-1,0)),IF(D$8&lt;$K225,IF(OFFSET(D225,-1,0)="","ERR",OFFSET(D225,-1,0)),""))</f>
        <v/>
      </c>
      <c r="E225" s="11">
        <f>IF($K225=E$8,1+IF(OFFSET(E225,-1,0)="",0,OFFSET(E225,-1,0)),IF(E$8&lt;$K225,IF(OFFSET(E225,-1,0)="","ERR",OFFSET(E225,-1,0)),""))</f>
        <v/>
      </c>
      <c r="F225" s="11">
        <f>IF($K225=F$8,1+IF(OFFSET(F225,-1,0)="",0,OFFSET(F225,-1,0)),IF(F$8&lt;$K225,IF(OFFSET(F225,-1,0)="","ERR",OFFSET(F225,-1,0)),""))</f>
        <v/>
      </c>
      <c r="G225" s="11">
        <f>IF($K225=G$8,1+IF(OFFSET(G225,-1,0)="",0,OFFSET(G225,-1,0)),IF(G$8&lt;$K225,IF(OFFSET(G225,-1,0)="","ERR",OFFSET(G225,-1,0)),""))</f>
        <v/>
      </c>
      <c r="H225" s="11">
        <f>IF($K225=H$8,1+IF(OFFSET(H225,-1,0)="",0,OFFSET(H225,-1,0)),IF(H$8&lt;$K225,IF(OFFSET(H225,-1,0)="","ERR",OFFSET(H225,-1,0)),""))</f>
        <v/>
      </c>
      <c r="I225" s="11">
        <f>IF($K225=I$8,1+IF(OFFSET(I225,-1,0)="",0,OFFSET(I225,-1,0)),IF(I$8&lt;$K225,IF(OFFSET(I225,-1,0)="","ERR",OFFSET(I225,-1,0)),""))</f>
        <v/>
      </c>
      <c r="J225" s="46">
        <f>_xlfn.TEXTJOIN(".",1,B225:I225)</f>
        <v/>
      </c>
      <c r="K225" s="46" t="inlineStr">
        <is>
          <t>Л6</t>
        </is>
      </c>
      <c r="L225" s="46" t="inlineStr">
        <is>
          <t>3.3.3.7.4.2</t>
        </is>
      </c>
      <c r="M225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прямошовная, D=25х1,0 мм ГОСТ ГОСТ 10704-91</t>
        </is>
      </c>
      <c r="N225" s="46" t="inlineStr">
        <is>
          <t>пог. м</t>
        </is>
      </c>
      <c r="O225" s="94">
        <f>P225+Q225+S225+V225</f>
        <v/>
      </c>
      <c r="P225" s="46" t="n"/>
      <c r="Q225" s="46" t="n">
        <v>6</v>
      </c>
      <c r="R225" s="46" t="n">
        <v>6</v>
      </c>
      <c r="S225" s="46" t="n">
        <v>6</v>
      </c>
      <c r="T225" s="46" t="n">
        <v>6</v>
      </c>
      <c r="U225" s="46" t="n">
        <v>6</v>
      </c>
      <c r="V225" s="46" t="n">
        <v>6</v>
      </c>
      <c r="W225" s="46" t="n"/>
      <c r="X225" s="46" t="n"/>
      <c r="Y225" s="46" t="n"/>
      <c r="Z225" s="46" t="n"/>
      <c r="AA225" s="48" t="n"/>
      <c r="AB225" s="179" t="n"/>
      <c r="AC225" s="180" t="n"/>
      <c r="AD225" s="189">
        <f>SUM(AB225:AC225)</f>
        <v/>
      </c>
      <c r="AE225" s="189">
        <f>AB225*$O225</f>
        <v/>
      </c>
      <c r="AF225" s="189">
        <f>AC225*$O225</f>
        <v/>
      </c>
      <c r="AG225" s="189">
        <f>SUM(AE225:AF225)</f>
        <v/>
      </c>
      <c r="AH225" s="182" t="n"/>
    </row>
    <row r="226">
      <c r="A226" s="18" t="n"/>
      <c r="B226" s="11">
        <f>IF($K226=B$8,1+IF(OFFSET(B226,-1,0)="",0,OFFSET(B226,-1,0)),IF(B$8&lt;$K226,IF(OFFSET(B226,-1,0)="","ERR",OFFSET(B226,-1,0)),""))</f>
        <v/>
      </c>
      <c r="C226" s="11">
        <f>IF($K226=C$8,1+IF(OFFSET(C226,-1,0)="",0,OFFSET(C226,-1,0)),IF(C$8&lt;$K226,IF(OFFSET(C226,-1,0)="","ERR",OFFSET(C226,-1,0)),""))</f>
        <v/>
      </c>
      <c r="D226" s="11">
        <f>IF($K226=D$8,1+IF(OFFSET(D226,-1,0)="",0,OFFSET(D226,-1,0)),IF(D$8&lt;$K226,IF(OFFSET(D226,-1,0)="","ERR",OFFSET(D226,-1,0)),""))</f>
        <v/>
      </c>
      <c r="E226" s="11">
        <f>IF($K226=E$8,1+IF(OFFSET(E226,-1,0)="",0,OFFSET(E226,-1,0)),IF(E$8&lt;$K226,IF(OFFSET(E226,-1,0)="","ERR",OFFSET(E226,-1,0)),""))</f>
        <v/>
      </c>
      <c r="F226" s="11">
        <f>IF($K226=F$8,1+IF(OFFSET(F226,-1,0)="",0,OFFSET(F226,-1,0)),IF(F$8&lt;$K226,IF(OFFSET(F226,-1,0)="","ERR",OFFSET(F226,-1,0)),""))</f>
        <v/>
      </c>
      <c r="G226" s="11">
        <f>IF($K226=G$8,1+IF(OFFSET(G226,-1,0)="",0,OFFSET(G226,-1,0)),IF(G$8&lt;$K226,IF(OFFSET(G226,-1,0)="","ERR",OFFSET(G226,-1,0)),""))</f>
        <v/>
      </c>
      <c r="H226" s="11">
        <f>IF($K226=H$8,1+IF(OFFSET(H226,-1,0)="",0,OFFSET(H226,-1,0)),IF(H$8&lt;$K226,IF(OFFSET(H226,-1,0)="","ERR",OFFSET(H226,-1,0)),""))</f>
        <v/>
      </c>
      <c r="I226" s="11">
        <f>IF($K226=I$8,1+IF(OFFSET(I226,-1,0)="",0,OFFSET(I226,-1,0)),IF(I$8&lt;$K226,IF(OFFSET(I226,-1,0)="","ERR",OFFSET(I226,-1,0)),""))</f>
        <v/>
      </c>
      <c r="J226" s="40">
        <f>_xlfn.TEXTJOIN(".",1,B226:I226)</f>
        <v/>
      </c>
      <c r="K226" s="40" t="inlineStr">
        <is>
          <t>Л4</t>
        </is>
      </c>
      <c r="L226" s="40" t="inlineStr">
        <is>
          <t>3.3.3.9</t>
        </is>
      </c>
      <c r="M226" s="41" t="inlineStr">
        <is>
          <t>ОЗДС: Охранно-защитная дератизационная система</t>
        </is>
      </c>
      <c r="N226" s="40" t="n"/>
      <c r="O226" s="92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2" t="inlineStr">
        <is>
          <t>ПТ-082022-23-Р-ОЗДС0</t>
        </is>
      </c>
      <c r="AB226" s="183" t="n"/>
      <c r="AC226" s="184" t="n"/>
      <c r="AD226" s="184" t="n"/>
      <c r="AE226" s="184" t="n"/>
      <c r="AF226" s="184" t="n"/>
      <c r="AG226" s="184" t="n"/>
      <c r="AH226" s="175" t="n"/>
    </row>
    <row r="227" outlineLevel="1">
      <c r="A227" s="18" t="n"/>
      <c r="B227" s="11">
        <f>IF($K227=B$8,1+IF(OFFSET(B227,-1,0)="",0,OFFSET(B227,-1,0)),IF(B$8&lt;$K227,IF(OFFSET(B227,-1,0)="","ERR",OFFSET(B227,-1,0)),""))</f>
        <v/>
      </c>
      <c r="C227" s="11">
        <f>IF($K227=C$8,1+IF(OFFSET(C227,-1,0)="",0,OFFSET(C227,-1,0)),IF(C$8&lt;$K227,IF(OFFSET(C227,-1,0)="","ERR",OFFSET(C227,-1,0)),""))</f>
        <v/>
      </c>
      <c r="D227" s="11">
        <f>IF($K227=D$8,1+IF(OFFSET(D227,-1,0)="",0,OFFSET(D227,-1,0)),IF(D$8&lt;$K227,IF(OFFSET(D227,-1,0)="","ERR",OFFSET(D227,-1,0)),""))</f>
        <v/>
      </c>
      <c r="E227" s="11">
        <f>IF($K227=E$8,1+IF(OFFSET(E227,-1,0)="",0,OFFSET(E227,-1,0)),IF(E$8&lt;$K227,IF(OFFSET(E227,-1,0)="","ERR",OFFSET(E227,-1,0)),""))</f>
        <v/>
      </c>
      <c r="F227" s="11">
        <f>IF($K227=F$8,1+IF(OFFSET(F227,-1,0)="",0,OFFSET(F227,-1,0)),IF(F$8&lt;$K227,IF(OFFSET(F227,-1,0)="","ERR",OFFSET(F227,-1,0)),""))</f>
        <v/>
      </c>
      <c r="G227" s="11">
        <f>IF($K227=G$8,1+IF(OFFSET(G227,-1,0)="",0,OFFSET(G227,-1,0)),IF(G$8&lt;$K227,IF(OFFSET(G227,-1,0)="","ERR",OFFSET(G227,-1,0)),""))</f>
        <v/>
      </c>
      <c r="H227" s="11">
        <f>IF($K227=H$8,1+IF(OFFSET(H227,-1,0)="",0,OFFSET(H227,-1,0)),IF(H$8&lt;$K227,IF(OFFSET(H227,-1,0)="","ERR",OFFSET(H227,-1,0)),""))</f>
        <v/>
      </c>
      <c r="I227" s="11">
        <f>IF($K227=I$8,1+IF(OFFSET(I227,-1,0)="",0,OFFSET(I227,-1,0)),IF(I$8&lt;$K227,IF(OFFSET(I227,-1,0)="","ERR",OFFSET(I227,-1,0)),""))</f>
        <v/>
      </c>
      <c r="J227" s="43">
        <f>_xlfn.TEXTJOIN(".",1,B227:I227)</f>
        <v/>
      </c>
      <c r="K227" s="43" t="inlineStr">
        <is>
          <t>Л5</t>
        </is>
      </c>
      <c r="L227" s="43" t="inlineStr">
        <is>
          <t>3.3.3.9.2</t>
        </is>
      </c>
      <c r="M227" s="44" t="inlineStr">
        <is>
          <t>Оборудование и приборы</t>
        </is>
      </c>
      <c r="N227" s="43" t="n"/>
      <c r="O227" s="9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5" t="n"/>
      <c r="AB227" s="185" t="n"/>
      <c r="AC227" s="186" t="n"/>
      <c r="AD227" s="186" t="n"/>
      <c r="AE227" s="186" t="n"/>
      <c r="AF227" s="186" t="n"/>
      <c r="AG227" s="186" t="n"/>
      <c r="AH227" s="178" t="n"/>
    </row>
    <row r="228" outlineLevel="1" ht="25.5" customHeight="1">
      <c r="A228" s="18" t="inlineStr">
        <is>
          <t>О</t>
        </is>
      </c>
      <c r="B228" s="11">
        <f>IF($K228=B$8,1+IF(OFFSET(B228,-1,0)="",0,OFFSET(B228,-1,0)),IF(B$8&lt;$K228,IF(OFFSET(B228,-1,0)="","ERR",OFFSET(B228,-1,0)),""))</f>
        <v/>
      </c>
      <c r="C228" s="11">
        <f>IF($K228=C$8,1+IF(OFFSET(C228,-1,0)="",0,OFFSET(C228,-1,0)),IF(C$8&lt;$K228,IF(OFFSET(C228,-1,0)="","ERR",OFFSET(C228,-1,0)),""))</f>
        <v/>
      </c>
      <c r="D228" s="11">
        <f>IF($K228=D$8,1+IF(OFFSET(D228,-1,0)="",0,OFFSET(D228,-1,0)),IF(D$8&lt;$K228,IF(OFFSET(D228,-1,0)="","ERR",OFFSET(D228,-1,0)),""))</f>
        <v/>
      </c>
      <c r="E228" s="11">
        <f>IF($K228=E$8,1+IF(OFFSET(E228,-1,0)="",0,OFFSET(E228,-1,0)),IF(E$8&lt;$K228,IF(OFFSET(E228,-1,0)="","ERR",OFFSET(E228,-1,0)),""))</f>
        <v/>
      </c>
      <c r="F228" s="11">
        <f>IF($K228=F$8,1+IF(OFFSET(F228,-1,0)="",0,OFFSET(F228,-1,0)),IF(F$8&lt;$K228,IF(OFFSET(F228,-1,0)="","ERR",OFFSET(F228,-1,0)),""))</f>
        <v/>
      </c>
      <c r="G228" s="11">
        <f>IF($K228=G$8,1+IF(OFFSET(G228,-1,0)="",0,OFFSET(G228,-1,0)),IF(G$8&lt;$K228,IF(OFFSET(G228,-1,0)="","ERR",OFFSET(G228,-1,0)),""))</f>
        <v/>
      </c>
      <c r="H228" s="11">
        <f>IF($K228=H$8,1+IF(OFFSET(H228,-1,0)="",0,OFFSET(H228,-1,0)),IF(H$8&lt;$K228,IF(OFFSET(H228,-1,0)="","ERR",OFFSET(H228,-1,0)),""))</f>
        <v/>
      </c>
      <c r="I228" s="11">
        <f>IF($K228=I$8,1+IF(OFFSET(I228,-1,0)="",0,OFFSET(I228,-1,0)),IF(I$8&lt;$K228,IF(OFFSET(I228,-1,0)="","ERR",OFFSET(I228,-1,0)),""))</f>
        <v/>
      </c>
      <c r="J228" s="46">
        <f>_xlfn.TEXTJOIN(".",1,B228:I228)</f>
        <v/>
      </c>
      <c r="K228" s="46" t="inlineStr">
        <is>
          <t>Л6</t>
        </is>
      </c>
      <c r="L228" s="46" t="inlineStr">
        <is>
          <t>3.3.3.9.2.1</t>
        </is>
      </c>
      <c r="M228" s="47" t="inlineStr">
        <is>
          <t>Монтаж блока преобразователя импульсного (БПИ): Блок преобразователя импульсный , БПИ ТУ 7399-001-18223723-98, «ИССАН-Охра-Д333»</t>
        </is>
      </c>
      <c r="N228" s="46" t="inlineStr">
        <is>
          <t>шт</t>
        </is>
      </c>
      <c r="O228" s="94">
        <f>P228+Q228+S228+V228</f>
        <v/>
      </c>
      <c r="P228" s="46" t="n"/>
      <c r="Q228" s="46" t="n">
        <v>4</v>
      </c>
      <c r="R228" s="46" t="n">
        <v>4</v>
      </c>
      <c r="S228" s="46" t="n">
        <v>2</v>
      </c>
      <c r="T228" s="46" t="n">
        <v>2</v>
      </c>
      <c r="U228" s="46" t="n">
        <v>2</v>
      </c>
      <c r="V228" s="46" t="n">
        <v>2</v>
      </c>
      <c r="W228" s="46" t="n"/>
      <c r="X228" s="46" t="n"/>
      <c r="Y228" s="46" t="n"/>
      <c r="Z228" s="46" t="n"/>
      <c r="AA228" s="48" t="n"/>
      <c r="AB228" s="179" t="n"/>
      <c r="AC228" s="180" t="n">
        <v>5500</v>
      </c>
      <c r="AD228" s="189">
        <f>SUM(AB228:AC228)</f>
        <v/>
      </c>
      <c r="AE228" s="189">
        <f>AB228*$O228</f>
        <v/>
      </c>
      <c r="AF228" s="189">
        <f>AC228*$O228</f>
        <v/>
      </c>
      <c r="AG228" s="189">
        <f>SUM(AE228:AF228)</f>
        <v/>
      </c>
      <c r="AH228" s="182" t="n"/>
    </row>
    <row r="229" outlineLevel="1" ht="38.25" customHeight="1">
      <c r="A229" s="18" t="inlineStr">
        <is>
          <t>О</t>
        </is>
      </c>
      <c r="B229" s="11">
        <f>IF($K229=B$8,1+IF(OFFSET(B229,-1,0)="",0,OFFSET(B229,-1,0)),IF(B$8&lt;$K229,IF(OFFSET(B229,-1,0)="","ERR",OFFSET(B229,-1,0)),""))</f>
        <v/>
      </c>
      <c r="C229" s="11">
        <f>IF($K229=C$8,1+IF(OFFSET(C229,-1,0)="",0,OFFSET(C229,-1,0)),IF(C$8&lt;$K229,IF(OFFSET(C229,-1,0)="","ERR",OFFSET(C229,-1,0)),""))</f>
        <v/>
      </c>
      <c r="D229" s="11">
        <f>IF($K229=D$8,1+IF(OFFSET(D229,-1,0)="",0,OFFSET(D229,-1,0)),IF(D$8&lt;$K229,IF(OFFSET(D229,-1,0)="","ERR",OFFSET(D229,-1,0)),""))</f>
        <v/>
      </c>
      <c r="E229" s="11">
        <f>IF($K229=E$8,1+IF(OFFSET(E229,-1,0)="",0,OFFSET(E229,-1,0)),IF(E$8&lt;$K229,IF(OFFSET(E229,-1,0)="","ERR",OFFSET(E229,-1,0)),""))</f>
        <v/>
      </c>
      <c r="F229" s="11">
        <f>IF($K229=F$8,1+IF(OFFSET(F229,-1,0)="",0,OFFSET(F229,-1,0)),IF(F$8&lt;$K229,IF(OFFSET(F229,-1,0)="","ERR",OFFSET(F229,-1,0)),""))</f>
        <v/>
      </c>
      <c r="G229" s="11">
        <f>IF($K229=G$8,1+IF(OFFSET(G229,-1,0)="",0,OFFSET(G229,-1,0)),IF(G$8&lt;$K229,IF(OFFSET(G229,-1,0)="","ERR",OFFSET(G229,-1,0)),""))</f>
        <v/>
      </c>
      <c r="H229" s="11">
        <f>IF($K229=H$8,1+IF(OFFSET(H229,-1,0)="",0,OFFSET(H229,-1,0)),IF(H$8&lt;$K229,IF(OFFSET(H229,-1,0)="","ERR",OFFSET(H229,-1,0)),""))</f>
        <v/>
      </c>
      <c r="I229" s="11">
        <f>IF($K229=I$8,1+IF(OFFSET(I229,-1,0)="",0,OFFSET(I229,-1,0)),IF(I$8&lt;$K229,IF(OFFSET(I229,-1,0)="","ERR",OFFSET(I229,-1,0)),""))</f>
        <v/>
      </c>
      <c r="J229" s="46">
        <f>_xlfn.TEXTJOIN(".",1,B229:I229)</f>
        <v/>
      </c>
      <c r="K229" s="46" t="inlineStr">
        <is>
          <t>Л6</t>
        </is>
      </c>
      <c r="L229" s="46" t="inlineStr">
        <is>
          <t>3.3.3.9.2.2</t>
        </is>
      </c>
      <c r="M229" s="47" t="inlineStr">
        <is>
          <t>Монтаж блока высоковольтного усилителя (БВУ): Блок высоковольтного усилителя, БВУ ТУ 7399-001-18223723-98, «ИССАН-Охра-Д333»
учесть: Предупреждающая наклейка «Помещение оборудовано ОЗДС» по 2 на блок</t>
        </is>
      </c>
      <c r="N229" s="46" t="inlineStr">
        <is>
          <t>шт</t>
        </is>
      </c>
      <c r="O229" s="94">
        <f>P229+Q229+S229+V229</f>
        <v/>
      </c>
      <c r="P229" s="46" t="n"/>
      <c r="Q229" s="46" t="n">
        <v>35</v>
      </c>
      <c r="R229" s="46" t="n">
        <v>35</v>
      </c>
      <c r="S229" s="46" t="n">
        <v>27</v>
      </c>
      <c r="T229" s="46" t="n">
        <v>27</v>
      </c>
      <c r="U229" s="46" t="n">
        <v>20</v>
      </c>
      <c r="V229" s="46" t="n">
        <v>20</v>
      </c>
      <c r="W229" s="46" t="n"/>
      <c r="X229" s="46" t="n"/>
      <c r="Y229" s="46" t="n"/>
      <c r="Z229" s="46" t="n"/>
      <c r="AA229" s="48" t="n"/>
      <c r="AB229" s="179" t="n"/>
      <c r="AC229" s="180" t="n">
        <v>950</v>
      </c>
      <c r="AD229" s="189">
        <f>SUM(AB229:AC229)</f>
        <v/>
      </c>
      <c r="AE229" s="189">
        <f>AB229*$O229</f>
        <v/>
      </c>
      <c r="AF229" s="189">
        <f>AC229*$O229</f>
        <v/>
      </c>
      <c r="AG229" s="189">
        <f>SUM(AE229:AF229)</f>
        <v/>
      </c>
      <c r="AH229" s="182" t="n"/>
    </row>
    <row r="230" outlineLevel="1">
      <c r="A230" s="18" t="inlineStr">
        <is>
          <t>О</t>
        </is>
      </c>
      <c r="B230" s="11">
        <f>IF($K230=B$8,1+IF(OFFSET(B230,-1,0)="",0,OFFSET(B230,-1,0)),IF(B$8&lt;$K230,IF(OFFSET(B230,-1,0)="","ERR",OFFSET(B230,-1,0)),""))</f>
        <v/>
      </c>
      <c r="C230" s="11">
        <f>IF($K230=C$8,1+IF(OFFSET(C230,-1,0)="",0,OFFSET(C230,-1,0)),IF(C$8&lt;$K230,IF(OFFSET(C230,-1,0)="","ERR",OFFSET(C230,-1,0)),""))</f>
        <v/>
      </c>
      <c r="D230" s="11">
        <f>IF($K230=D$8,1+IF(OFFSET(D230,-1,0)="",0,OFFSET(D230,-1,0)),IF(D$8&lt;$K230,IF(OFFSET(D230,-1,0)="","ERR",OFFSET(D230,-1,0)),""))</f>
        <v/>
      </c>
      <c r="E230" s="11">
        <f>IF($K230=E$8,1+IF(OFFSET(E230,-1,0)="",0,OFFSET(E230,-1,0)),IF(E$8&lt;$K230,IF(OFFSET(E230,-1,0)="","ERR",OFFSET(E230,-1,0)),""))</f>
        <v/>
      </c>
      <c r="F230" s="11">
        <f>IF($K230=F$8,1+IF(OFFSET(F230,-1,0)="",0,OFFSET(F230,-1,0)),IF(F$8&lt;$K230,IF(OFFSET(F230,-1,0)="","ERR",OFFSET(F230,-1,0)),""))</f>
        <v/>
      </c>
      <c r="G230" s="11">
        <f>IF($K230=G$8,1+IF(OFFSET(G230,-1,0)="",0,OFFSET(G230,-1,0)),IF(G$8&lt;$K230,IF(OFFSET(G230,-1,0)="","ERR",OFFSET(G230,-1,0)),""))</f>
        <v/>
      </c>
      <c r="H230" s="11">
        <f>IF($K230=H$8,1+IF(OFFSET(H230,-1,0)="",0,OFFSET(H230,-1,0)),IF(H$8&lt;$K230,IF(OFFSET(H230,-1,0)="","ERR",OFFSET(H230,-1,0)),""))</f>
        <v/>
      </c>
      <c r="I230" s="11">
        <f>IF($K230=I$8,1+IF(OFFSET(I230,-1,0)="",0,OFFSET(I230,-1,0)),IF(I$8&lt;$K230,IF(OFFSET(I230,-1,0)="","ERR",OFFSET(I230,-1,0)),""))</f>
        <v/>
      </c>
      <c r="J230" s="46">
        <f>_xlfn.TEXTJOIN(".",1,B230:I230)</f>
        <v/>
      </c>
      <c r="K230" s="46" t="inlineStr">
        <is>
          <t>Л6</t>
        </is>
      </c>
      <c r="L230" s="46" t="inlineStr">
        <is>
          <t>3.3.3.9.2.3</t>
        </is>
      </c>
      <c r="M230" s="47" t="inlineStr">
        <is>
          <t>Монтаж барьера электризуемого (БЭ): Барьерный элемент, БЕП ТУ 16К76-165-2000, «ИССАН-Охра-Д333»</t>
        </is>
      </c>
      <c r="N230" s="46" t="inlineStr">
        <is>
          <t>шт</t>
        </is>
      </c>
      <c r="O230" s="94">
        <f>P230+Q230+S230+V230</f>
        <v/>
      </c>
      <c r="P230" s="46" t="n"/>
      <c r="Q230" s="46" t="n">
        <v>35</v>
      </c>
      <c r="R230" s="46" t="n">
        <v>35</v>
      </c>
      <c r="S230" s="46" t="n">
        <v>27</v>
      </c>
      <c r="T230" s="46" t="n">
        <v>27</v>
      </c>
      <c r="U230" s="46" t="n">
        <v>20</v>
      </c>
      <c r="V230" s="46" t="n">
        <v>20</v>
      </c>
      <c r="W230" s="46" t="n"/>
      <c r="X230" s="46" t="n"/>
      <c r="Y230" s="46" t="n"/>
      <c r="Z230" s="46" t="n"/>
      <c r="AA230" s="48" t="inlineStr">
        <is>
          <t>138,5 м</t>
        </is>
      </c>
      <c r="AB230" s="179" t="n"/>
      <c r="AC230" s="180" t="n">
        <v>750</v>
      </c>
      <c r="AD230" s="189">
        <f>SUM(AB230:AC230)</f>
        <v/>
      </c>
      <c r="AE230" s="189">
        <f>AB230*$O230</f>
        <v/>
      </c>
      <c r="AF230" s="189">
        <f>AC230*$O230</f>
        <v/>
      </c>
      <c r="AG230" s="189">
        <f>SUM(AE230:AF230)</f>
        <v/>
      </c>
      <c r="AH230" s="182" t="n"/>
    </row>
    <row r="231" outlineLevel="1">
      <c r="A231" s="18" t="n"/>
      <c r="B231" s="11">
        <f>IF($K231=B$8,1+IF(OFFSET(B231,-1,0)="",0,OFFSET(B231,-1,0)),IF(B$8&lt;$K231,IF(OFFSET(B231,-1,0)="","ERR",OFFSET(B231,-1,0)),""))</f>
        <v/>
      </c>
      <c r="C231" s="11">
        <f>IF($K231=C$8,1+IF(OFFSET(C231,-1,0)="",0,OFFSET(C231,-1,0)),IF(C$8&lt;$K231,IF(OFFSET(C231,-1,0)="","ERR",OFFSET(C231,-1,0)),""))</f>
        <v/>
      </c>
      <c r="D231" s="11">
        <f>IF($K231=D$8,1+IF(OFFSET(D231,-1,0)="",0,OFFSET(D231,-1,0)),IF(D$8&lt;$K231,IF(OFFSET(D231,-1,0)="","ERR",OFFSET(D231,-1,0)),""))</f>
        <v/>
      </c>
      <c r="E231" s="11">
        <f>IF($K231=E$8,1+IF(OFFSET(E231,-1,0)="",0,OFFSET(E231,-1,0)),IF(E$8&lt;$K231,IF(OFFSET(E231,-1,0)="","ERR",OFFSET(E231,-1,0)),""))</f>
        <v/>
      </c>
      <c r="F231" s="11">
        <f>IF($K231=F$8,1+IF(OFFSET(F231,-1,0)="",0,OFFSET(F231,-1,0)),IF(F$8&lt;$K231,IF(OFFSET(F231,-1,0)="","ERR",OFFSET(F231,-1,0)),""))</f>
        <v/>
      </c>
      <c r="G231" s="11">
        <f>IF($K231=G$8,1+IF(OFFSET(G231,-1,0)="",0,OFFSET(G231,-1,0)),IF(G$8&lt;$K231,IF(OFFSET(G231,-1,0)="","ERR",OFFSET(G231,-1,0)),""))</f>
        <v/>
      </c>
      <c r="H231" s="11">
        <f>IF($K231=H$8,1+IF(OFFSET(H231,-1,0)="",0,OFFSET(H231,-1,0)),IF(H$8&lt;$K231,IF(OFFSET(H231,-1,0)="","ERR",OFFSET(H231,-1,0)),""))</f>
        <v/>
      </c>
      <c r="I231" s="11">
        <f>IF($K231=I$8,1+IF(OFFSET(I231,-1,0)="",0,OFFSET(I231,-1,0)),IF(I$8&lt;$K231,IF(OFFSET(I231,-1,0)="","ERR",OFFSET(I231,-1,0)),""))</f>
        <v/>
      </c>
      <c r="J231" s="43">
        <f>_xlfn.TEXTJOIN(".",1,B231:I231)</f>
        <v/>
      </c>
      <c r="K231" s="43" t="inlineStr">
        <is>
          <t>Л5</t>
        </is>
      </c>
      <c r="L231" s="43" t="inlineStr">
        <is>
          <t>3.3.3.9.3</t>
        </is>
      </c>
      <c r="M231" s="44" t="inlineStr">
        <is>
          <t>Кабельно-проводниковая продукция</t>
        </is>
      </c>
      <c r="N231" s="43" t="n"/>
      <c r="O231" s="9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5" t="n"/>
      <c r="AB231" s="185" t="n"/>
      <c r="AC231" s="186" t="n"/>
      <c r="AD231" s="186" t="n"/>
      <c r="AE231" s="186" t="n"/>
      <c r="AF231" s="186" t="n"/>
      <c r="AG231" s="186" t="n"/>
      <c r="AH231" s="178" t="n"/>
    </row>
    <row r="232" outlineLevel="1" ht="25.5" customHeight="1">
      <c r="A232" s="18" t="inlineStr">
        <is>
          <t>О</t>
        </is>
      </c>
      <c r="B232" s="11">
        <f>IF($K232=B$8,1+IF(OFFSET(B232,-1,0)="",0,OFFSET(B232,-1,0)),IF(B$8&lt;$K232,IF(OFFSET(B232,-1,0)="","ERR",OFFSET(B232,-1,0)),""))</f>
        <v/>
      </c>
      <c r="C232" s="11">
        <f>IF($K232=C$8,1+IF(OFFSET(C232,-1,0)="",0,OFFSET(C232,-1,0)),IF(C$8&lt;$K232,IF(OFFSET(C232,-1,0)="","ERR",OFFSET(C232,-1,0)),""))</f>
        <v/>
      </c>
      <c r="D232" s="11">
        <f>IF($K232=D$8,1+IF(OFFSET(D232,-1,0)="",0,OFFSET(D232,-1,0)),IF(D$8&lt;$K232,IF(OFFSET(D232,-1,0)="","ERR",OFFSET(D232,-1,0)),""))</f>
        <v/>
      </c>
      <c r="E232" s="11">
        <f>IF($K232=E$8,1+IF(OFFSET(E232,-1,0)="",0,OFFSET(E232,-1,0)),IF(E$8&lt;$K232,IF(OFFSET(E232,-1,0)="","ERR",OFFSET(E232,-1,0)),""))</f>
        <v/>
      </c>
      <c r="F232" s="11">
        <f>IF($K232=F$8,1+IF(OFFSET(F232,-1,0)="",0,OFFSET(F232,-1,0)),IF(F$8&lt;$K232,IF(OFFSET(F232,-1,0)="","ERR",OFFSET(F232,-1,0)),""))</f>
        <v/>
      </c>
      <c r="G232" s="11">
        <f>IF($K232=G$8,1+IF(OFFSET(G232,-1,0)="",0,OFFSET(G232,-1,0)),IF(G$8&lt;$K232,IF(OFFSET(G232,-1,0)="","ERR",OFFSET(G232,-1,0)),""))</f>
        <v/>
      </c>
      <c r="H232" s="11">
        <f>IF($K232=H$8,1+IF(OFFSET(H232,-1,0)="",0,OFFSET(H232,-1,0)),IF(H$8&lt;$K232,IF(OFFSET(H232,-1,0)="","ERR",OFFSET(H232,-1,0)),""))</f>
        <v/>
      </c>
      <c r="I232" s="11">
        <f>IF($K232=I$8,1+IF(OFFSET(I232,-1,0)="",0,OFFSET(I232,-1,0)),IF(I$8&lt;$K232,IF(OFFSET(I232,-1,0)="","ERR",OFFSET(I232,-1,0)),""))</f>
        <v/>
      </c>
      <c r="J232" s="46">
        <f>_xlfn.TEXTJOIN(".",1,B232:I232)</f>
        <v/>
      </c>
      <c r="K232" s="46" t="inlineStr">
        <is>
          <t>Л6</t>
        </is>
      </c>
      <c r="L232" s="46" t="inlineStr">
        <is>
          <t>3.3.3.9.3.1</t>
        </is>
      </c>
      <c r="M232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3х2,5</t>
        </is>
      </c>
      <c r="N232" s="46" t="inlineStr">
        <is>
          <t>пог. м</t>
        </is>
      </c>
      <c r="O232" s="94">
        <f>P232+Q232+S232+V232</f>
        <v/>
      </c>
      <c r="P232" s="46" t="n"/>
      <c r="Q232" s="46" t="n">
        <v>35</v>
      </c>
      <c r="R232" s="46" t="n">
        <v>35</v>
      </c>
      <c r="S232" s="46" t="n">
        <v>27</v>
      </c>
      <c r="T232" s="46" t="n">
        <v>27</v>
      </c>
      <c r="U232" s="46" t="n">
        <v>20</v>
      </c>
      <c r="V232" s="46" t="n">
        <v>20</v>
      </c>
      <c r="W232" s="46" t="n"/>
      <c r="X232" s="46" t="n"/>
      <c r="Y232" s="46" t="n"/>
      <c r="Z232" s="46" t="n"/>
      <c r="AA232" s="48" t="n"/>
      <c r="AB232" s="179" t="n"/>
      <c r="AC232" s="180" t="n">
        <v>120</v>
      </c>
      <c r="AD232" s="189">
        <f>SUM(AB232:AC232)</f>
        <v/>
      </c>
      <c r="AE232" s="189">
        <f>AB232*$O232</f>
        <v/>
      </c>
      <c r="AF232" s="189">
        <f>AC232*$O232</f>
        <v/>
      </c>
      <c r="AG232" s="189">
        <f>SUM(AE232:AF232)</f>
        <v/>
      </c>
      <c r="AH232" s="182" t="n"/>
    </row>
    <row r="233" outlineLevel="1" ht="25.5" customHeight="1">
      <c r="A233" s="18" t="inlineStr">
        <is>
          <t>О</t>
        </is>
      </c>
      <c r="B233" s="11">
        <f>IF($K233=B$8,1+IF(OFFSET(B233,-1,0)="",0,OFFSET(B233,-1,0)),IF(B$8&lt;$K233,IF(OFFSET(B233,-1,0)="","ERR",OFFSET(B233,-1,0)),""))</f>
        <v/>
      </c>
      <c r="C233" s="11">
        <f>IF($K233=C$8,1+IF(OFFSET(C233,-1,0)="",0,OFFSET(C233,-1,0)),IF(C$8&lt;$K233,IF(OFFSET(C233,-1,0)="","ERR",OFFSET(C233,-1,0)),""))</f>
        <v/>
      </c>
      <c r="D233" s="11">
        <f>IF($K233=D$8,1+IF(OFFSET(D233,-1,0)="",0,OFFSET(D233,-1,0)),IF(D$8&lt;$K233,IF(OFFSET(D233,-1,0)="","ERR",OFFSET(D233,-1,0)),""))</f>
        <v/>
      </c>
      <c r="E233" s="11">
        <f>IF($K233=E$8,1+IF(OFFSET(E233,-1,0)="",0,OFFSET(E233,-1,0)),IF(E$8&lt;$K233,IF(OFFSET(E233,-1,0)="","ERR",OFFSET(E233,-1,0)),""))</f>
        <v/>
      </c>
      <c r="F233" s="11">
        <f>IF($K233=F$8,1+IF(OFFSET(F233,-1,0)="",0,OFFSET(F233,-1,0)),IF(F$8&lt;$K233,IF(OFFSET(F233,-1,0)="","ERR",OFFSET(F233,-1,0)),""))</f>
        <v/>
      </c>
      <c r="G233" s="11">
        <f>IF($K233=G$8,1+IF(OFFSET(G233,-1,0)="",0,OFFSET(G233,-1,0)),IF(G$8&lt;$K233,IF(OFFSET(G233,-1,0)="","ERR",OFFSET(G233,-1,0)),""))</f>
        <v/>
      </c>
      <c r="H233" s="11">
        <f>IF($K233=H$8,1+IF(OFFSET(H233,-1,0)="",0,OFFSET(H233,-1,0)),IF(H$8&lt;$K233,IF(OFFSET(H233,-1,0)="","ERR",OFFSET(H233,-1,0)),""))</f>
        <v/>
      </c>
      <c r="I233" s="11">
        <f>IF($K233=I$8,1+IF(OFFSET(I233,-1,0)="",0,OFFSET(I233,-1,0)),IF(I$8&lt;$K233,IF(OFFSET(I233,-1,0)="","ERR",OFFSET(I233,-1,0)),""))</f>
        <v/>
      </c>
      <c r="J233" s="46">
        <f>_xlfn.TEXTJOIN(".",1,B233:I233)</f>
        <v/>
      </c>
      <c r="K233" s="46" t="inlineStr">
        <is>
          <t>Л6</t>
        </is>
      </c>
      <c r="L233" s="46" t="inlineStr">
        <is>
          <t>3.3.3.9.3.1</t>
        </is>
      </c>
      <c r="M233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2х1,5</t>
        </is>
      </c>
      <c r="N233" s="46" t="inlineStr">
        <is>
          <t>пог. м</t>
        </is>
      </c>
      <c r="O233" s="94">
        <f>P233+Q233+S233+V233</f>
        <v/>
      </c>
      <c r="P233" s="46" t="n"/>
      <c r="Q233" s="46">
        <f>256+353+255+140</f>
        <v/>
      </c>
      <c r="R233" s="46">
        <f>256+353+255+140</f>
        <v/>
      </c>
      <c r="S233" s="46">
        <f>415+300</f>
        <v/>
      </c>
      <c r="T233" s="46">
        <f>415+300</f>
        <v/>
      </c>
      <c r="U233" s="46">
        <f>292+153</f>
        <v/>
      </c>
      <c r="V233" s="46">
        <f>292+153</f>
        <v/>
      </c>
      <c r="W233" s="46" t="n"/>
      <c r="X233" s="46" t="n"/>
      <c r="Y233" s="46" t="n"/>
      <c r="Z233" s="46" t="n"/>
      <c r="AA233" s="48" t="n"/>
      <c r="AB233" s="179" t="n"/>
      <c r="AC233" s="180" t="n">
        <v>95</v>
      </c>
      <c r="AD233" s="189">
        <f>SUM(AB233:AC233)</f>
        <v/>
      </c>
      <c r="AE233" s="189">
        <f>AB233*$O233</f>
        <v/>
      </c>
      <c r="AF233" s="189">
        <f>AC233*$O233</f>
        <v/>
      </c>
      <c r="AG233" s="189">
        <f>SUM(AE233:AF233)</f>
        <v/>
      </c>
      <c r="AH233" s="182" t="n"/>
    </row>
    <row r="234" outlineLevel="1" ht="25.5" customHeight="1">
      <c r="A234" s="18" t="inlineStr">
        <is>
          <t>О</t>
        </is>
      </c>
      <c r="B234" s="11">
        <f>IF($K234=B$8,1+IF(OFFSET(B234,-1,0)="",0,OFFSET(B234,-1,0)),IF(B$8&lt;$K234,IF(OFFSET(B234,-1,0)="","ERR",OFFSET(B234,-1,0)),""))</f>
        <v/>
      </c>
      <c r="C234" s="11">
        <f>IF($K234=C$8,1+IF(OFFSET(C234,-1,0)="",0,OFFSET(C234,-1,0)),IF(C$8&lt;$K234,IF(OFFSET(C234,-1,0)="","ERR",OFFSET(C234,-1,0)),""))</f>
        <v/>
      </c>
      <c r="D234" s="11">
        <f>IF($K234=D$8,1+IF(OFFSET(D234,-1,0)="",0,OFFSET(D234,-1,0)),IF(D$8&lt;$K234,IF(OFFSET(D234,-1,0)="","ERR",OFFSET(D234,-1,0)),""))</f>
        <v/>
      </c>
      <c r="E234" s="11">
        <f>IF($K234=E$8,1+IF(OFFSET(E234,-1,0)="",0,OFFSET(E234,-1,0)),IF(E$8&lt;$K234,IF(OFFSET(E234,-1,0)="","ERR",OFFSET(E234,-1,0)),""))</f>
        <v/>
      </c>
      <c r="F234" s="11">
        <f>IF($K234=F$8,1+IF(OFFSET(F234,-1,0)="",0,OFFSET(F234,-1,0)),IF(F$8&lt;$K234,IF(OFFSET(F234,-1,0)="","ERR",OFFSET(F234,-1,0)),""))</f>
        <v/>
      </c>
      <c r="G234" s="11">
        <f>IF($K234=G$8,1+IF(OFFSET(G234,-1,0)="",0,OFFSET(G234,-1,0)),IF(G$8&lt;$K234,IF(OFFSET(G234,-1,0)="","ERR",OFFSET(G234,-1,0)),""))</f>
        <v/>
      </c>
      <c r="H234" s="11">
        <f>IF($K234=H$8,1+IF(OFFSET(H234,-1,0)="",0,OFFSET(H234,-1,0)),IF(H$8&lt;$K234,IF(OFFSET(H234,-1,0)="","ERR",OFFSET(H234,-1,0)),""))</f>
        <v/>
      </c>
      <c r="I234" s="11">
        <f>IF($K234=I$8,1+IF(OFFSET(I234,-1,0)="",0,OFFSET(I234,-1,0)),IF(I$8&lt;$K234,IF(OFFSET(I234,-1,0)="","ERR",OFFSET(I234,-1,0)),""))</f>
        <v/>
      </c>
      <c r="J234" s="46">
        <f>_xlfn.TEXTJOIN(".",1,B234:I234)</f>
        <v/>
      </c>
      <c r="K234" s="46" t="inlineStr">
        <is>
          <t>Л6</t>
        </is>
      </c>
      <c r="L234" s="46" t="inlineStr">
        <is>
          <t>3.3.3.9.3.1</t>
        </is>
      </c>
      <c r="M234" s="47" t="inlineStr">
        <is>
          <t>Прокладка кабеля/провода слаботочных систем и автоматики по конструкциям и в трубах здания: Кабель силовой коммутационный, ПВМТ-40 2х0,35</t>
        </is>
      </c>
      <c r="N234" s="46" t="inlineStr">
        <is>
          <t>пог. м</t>
        </is>
      </c>
      <c r="O234" s="94">
        <f>P234+Q234+S234+V234</f>
        <v/>
      </c>
      <c r="P234" s="46" t="n"/>
      <c r="Q234" s="46">
        <f>Q230*2</f>
        <v/>
      </c>
      <c r="R234" s="46">
        <f>R230*2</f>
        <v/>
      </c>
      <c r="S234" s="46">
        <f>S230*2</f>
        <v/>
      </c>
      <c r="T234" s="46">
        <f>T230*2</f>
        <v/>
      </c>
      <c r="U234" s="46">
        <f>U230*2</f>
        <v/>
      </c>
      <c r="V234" s="46">
        <f>V230*2</f>
        <v/>
      </c>
      <c r="W234" s="46" t="n"/>
      <c r="X234" s="46" t="n"/>
      <c r="Y234" s="46" t="n"/>
      <c r="Z234" s="46" t="n"/>
      <c r="AA234" s="48" t="n"/>
      <c r="AB234" s="179" t="n"/>
      <c r="AC234" s="180" t="n">
        <v>65</v>
      </c>
      <c r="AD234" s="189">
        <f>SUM(AB234:AC234)</f>
        <v/>
      </c>
      <c r="AE234" s="189">
        <f>AB234*$O234</f>
        <v/>
      </c>
      <c r="AF234" s="189">
        <f>AC234*$O234</f>
        <v/>
      </c>
      <c r="AG234" s="189">
        <f>SUM(AE234:AF234)</f>
        <v/>
      </c>
      <c r="AH234" s="182" t="n"/>
    </row>
    <row r="235" outlineLevel="1">
      <c r="A235" s="18" t="n"/>
      <c r="B235" s="11">
        <f>IF($K235=B$8,1+IF(OFFSET(B235,-1,0)="",0,OFFSET(B235,-1,0)),IF(B$8&lt;$K235,IF(OFFSET(B235,-1,0)="","ERR",OFFSET(B235,-1,0)),""))</f>
        <v/>
      </c>
      <c r="C235" s="11">
        <f>IF($K235=C$8,1+IF(OFFSET(C235,-1,0)="",0,OFFSET(C235,-1,0)),IF(C$8&lt;$K235,IF(OFFSET(C235,-1,0)="","ERR",OFFSET(C235,-1,0)),""))</f>
        <v/>
      </c>
      <c r="D235" s="11">
        <f>IF($K235=D$8,1+IF(OFFSET(D235,-1,0)="",0,OFFSET(D235,-1,0)),IF(D$8&lt;$K235,IF(OFFSET(D235,-1,0)="","ERR",OFFSET(D235,-1,0)),""))</f>
        <v/>
      </c>
      <c r="E235" s="11">
        <f>IF($K235=E$8,1+IF(OFFSET(E235,-1,0)="",0,OFFSET(E235,-1,0)),IF(E$8&lt;$K235,IF(OFFSET(E235,-1,0)="","ERR",OFFSET(E235,-1,0)),""))</f>
        <v/>
      </c>
      <c r="F235" s="11">
        <f>IF($K235=F$8,1+IF(OFFSET(F235,-1,0)="",0,OFFSET(F235,-1,0)),IF(F$8&lt;$K235,IF(OFFSET(F235,-1,0)="","ERR",OFFSET(F235,-1,0)),""))</f>
        <v/>
      </c>
      <c r="G235" s="11">
        <f>IF($K235=G$8,1+IF(OFFSET(G235,-1,0)="",0,OFFSET(G235,-1,0)),IF(G$8&lt;$K235,IF(OFFSET(G235,-1,0)="","ERR",OFFSET(G235,-1,0)),""))</f>
        <v/>
      </c>
      <c r="H235" s="11">
        <f>IF($K235=H$8,1+IF(OFFSET(H235,-1,0)="",0,OFFSET(H235,-1,0)),IF(H$8&lt;$K235,IF(OFFSET(H235,-1,0)="","ERR",OFFSET(H235,-1,0)),""))</f>
        <v/>
      </c>
      <c r="I235" s="11">
        <f>IF($K235=I$8,1+IF(OFFSET(I235,-1,0)="",0,OFFSET(I235,-1,0)),IF(I$8&lt;$K235,IF(OFFSET(I235,-1,0)="","ERR",OFFSET(I235,-1,0)),""))</f>
        <v/>
      </c>
      <c r="J235" s="43">
        <f>_xlfn.TEXTJOIN(".",1,B235:I235)</f>
        <v/>
      </c>
      <c r="K235" s="43" t="inlineStr">
        <is>
          <t>Л5</t>
        </is>
      </c>
      <c r="L235" s="43" t="inlineStr">
        <is>
          <t>3.3.3.9.4</t>
        </is>
      </c>
      <c r="M235" s="44" t="inlineStr">
        <is>
          <t>Гофра, трубы, кабеленесущие конструкции</t>
        </is>
      </c>
      <c r="N235" s="43" t="n"/>
      <c r="O235" s="9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5" t="n"/>
      <c r="AB235" s="185" t="n"/>
      <c r="AC235" s="186" t="n"/>
      <c r="AD235" s="186" t="n"/>
      <c r="AE235" s="186" t="n"/>
      <c r="AF235" s="186" t="n"/>
      <c r="AG235" s="186" t="n"/>
      <c r="AH235" s="178" t="n"/>
    </row>
    <row r="236" outlineLevel="1" ht="25.5" customHeight="1">
      <c r="A236" s="18" t="inlineStr">
        <is>
          <t>О</t>
        </is>
      </c>
      <c r="B236" s="11">
        <f>IF($K236=B$8,1+IF(OFFSET(B236,-1,0)="",0,OFFSET(B236,-1,0)),IF(B$8&lt;$K236,IF(OFFSET(B236,-1,0)="","ERR",OFFSET(B236,-1,0)),""))</f>
        <v/>
      </c>
      <c r="C236" s="11">
        <f>IF($K236=C$8,1+IF(OFFSET(C236,-1,0)="",0,OFFSET(C236,-1,0)),IF(C$8&lt;$K236,IF(OFFSET(C236,-1,0)="","ERR",OFFSET(C236,-1,0)),""))</f>
        <v/>
      </c>
      <c r="D236" s="11">
        <f>IF($K236=D$8,1+IF(OFFSET(D236,-1,0)="",0,OFFSET(D236,-1,0)),IF(D$8&lt;$K236,IF(OFFSET(D236,-1,0)="","ERR",OFFSET(D236,-1,0)),""))</f>
        <v/>
      </c>
      <c r="E236" s="11">
        <f>IF($K236=E$8,1+IF(OFFSET(E236,-1,0)="",0,OFFSET(E236,-1,0)),IF(E$8&lt;$K236,IF(OFFSET(E236,-1,0)="","ERR",OFFSET(E236,-1,0)),""))</f>
        <v/>
      </c>
      <c r="F236" s="11">
        <f>IF($K236=F$8,1+IF(OFFSET(F236,-1,0)="",0,OFFSET(F236,-1,0)),IF(F$8&lt;$K236,IF(OFFSET(F236,-1,0)="","ERR",OFFSET(F236,-1,0)),""))</f>
        <v/>
      </c>
      <c r="G236" s="11">
        <f>IF($K236=G$8,1+IF(OFFSET(G236,-1,0)="",0,OFFSET(G236,-1,0)),IF(G$8&lt;$K236,IF(OFFSET(G236,-1,0)="","ERR",OFFSET(G236,-1,0)),""))</f>
        <v/>
      </c>
      <c r="H236" s="11">
        <f>IF($K236=H$8,1+IF(OFFSET(H236,-1,0)="",0,OFFSET(H236,-1,0)),IF(H$8&lt;$K236,IF(OFFSET(H236,-1,0)="","ERR",OFFSET(H236,-1,0)),""))</f>
        <v/>
      </c>
      <c r="I236" s="11">
        <f>IF($K236=I$8,1+IF(OFFSET(I236,-1,0)="",0,OFFSET(I236,-1,0)),IF(I$8&lt;$K236,IF(OFFSET(I236,-1,0)="","ERR",OFFSET(I236,-1,0)),""))</f>
        <v/>
      </c>
      <c r="J236" s="46">
        <f>_xlfn.TEXTJOIN(".",1,B236:I236)</f>
        <v/>
      </c>
      <c r="K236" s="46" t="inlineStr">
        <is>
          <t>Л6</t>
        </is>
      </c>
      <c r="L236" s="46" t="inlineStr">
        <is>
          <t>3.3.3.9.4.1</t>
        </is>
      </c>
      <c r="M236" s="47" t="inlineStr">
        <is>
          <t>Прокладка трубы гофрированной диаметром до 32 мм с учетом крепежей и соединительных элементов: Труба легкая гофрированная с протяжкой цвет серый ПВХ D=16мм, 91916, ДКС</t>
        </is>
      </c>
      <c r="N236" s="46" t="inlineStr">
        <is>
          <t>пог. м</t>
        </is>
      </c>
      <c r="O236" s="94">
        <f>P236+Q236+S236+V236</f>
        <v/>
      </c>
      <c r="P236" s="46" t="n"/>
      <c r="Q236" s="46">
        <f>Q232*2</f>
        <v/>
      </c>
      <c r="R236" s="46">
        <f>R232*2</f>
        <v/>
      </c>
      <c r="S236" s="46">
        <f>S232*2</f>
        <v/>
      </c>
      <c r="T236" s="46">
        <f>T232*2</f>
        <v/>
      </c>
      <c r="U236" s="46">
        <f>U232*2</f>
        <v/>
      </c>
      <c r="V236" s="46">
        <f>V232*2</f>
        <v/>
      </c>
      <c r="W236" s="46" t="n"/>
      <c r="X236" s="46" t="n"/>
      <c r="Y236" s="46" t="n"/>
      <c r="Z236" s="46" t="n"/>
      <c r="AA236" s="48" t="n"/>
      <c r="AB236" s="179" t="n"/>
      <c r="AC236" s="180" t="n">
        <v>45</v>
      </c>
      <c r="AD236" s="189">
        <f>SUM(AB236:AC236)</f>
        <v/>
      </c>
      <c r="AE236" s="189">
        <f>AB236*$O236</f>
        <v/>
      </c>
      <c r="AF236" s="189">
        <f>AC236*$O236</f>
        <v/>
      </c>
      <c r="AG236" s="189">
        <f>SUM(AE236:AF236)</f>
        <v/>
      </c>
      <c r="AH236" s="182" t="n"/>
    </row>
    <row r="237" outlineLevel="1" ht="25.5" customHeight="1">
      <c r="A237" s="18" t="inlineStr">
        <is>
          <t>О</t>
        </is>
      </c>
      <c r="B237" s="11">
        <f>IF($K237=B$8,1+IF(OFFSET(B237,-1,0)="",0,OFFSET(B237,-1,0)),IF(B$8&lt;$K237,IF(OFFSET(B237,-1,0)="","ERR",OFFSET(B237,-1,0)),""))</f>
        <v/>
      </c>
      <c r="C237" s="11">
        <f>IF($K237=C$8,1+IF(OFFSET(C237,-1,0)="",0,OFFSET(C237,-1,0)),IF(C$8&lt;$K237,IF(OFFSET(C237,-1,0)="","ERR",OFFSET(C237,-1,0)),""))</f>
        <v/>
      </c>
      <c r="D237" s="11">
        <f>IF($K237=D$8,1+IF(OFFSET(D237,-1,0)="",0,OFFSET(D237,-1,0)),IF(D$8&lt;$K237,IF(OFFSET(D237,-1,0)="","ERR",OFFSET(D237,-1,0)),""))</f>
        <v/>
      </c>
      <c r="E237" s="11">
        <f>IF($K237=E$8,1+IF(OFFSET(E237,-1,0)="",0,OFFSET(E237,-1,0)),IF(E$8&lt;$K237,IF(OFFSET(E237,-1,0)="","ERR",OFFSET(E237,-1,0)),""))</f>
        <v/>
      </c>
      <c r="F237" s="11">
        <f>IF($K237=F$8,1+IF(OFFSET(F237,-1,0)="",0,OFFSET(F237,-1,0)),IF(F$8&lt;$K237,IF(OFFSET(F237,-1,0)="","ERR",OFFSET(F237,-1,0)),""))</f>
        <v/>
      </c>
      <c r="G237" s="11">
        <f>IF($K237=G$8,1+IF(OFFSET(G237,-1,0)="",0,OFFSET(G237,-1,0)),IF(G$8&lt;$K237,IF(OFFSET(G237,-1,0)="","ERR",OFFSET(G237,-1,0)),""))</f>
        <v/>
      </c>
      <c r="H237" s="11">
        <f>IF($K237=H$8,1+IF(OFFSET(H237,-1,0)="",0,OFFSET(H237,-1,0)),IF(H$8&lt;$K237,IF(OFFSET(H237,-1,0)="","ERR",OFFSET(H237,-1,0)),""))</f>
        <v/>
      </c>
      <c r="I237" s="11">
        <f>IF($K237=I$8,1+IF(OFFSET(I237,-1,0)="",0,OFFSET(I237,-1,0)),IF(I$8&lt;$K237,IF(OFFSET(I237,-1,0)="","ERR",OFFSET(I237,-1,0)),""))</f>
        <v/>
      </c>
      <c r="J237" s="46">
        <f>_xlfn.TEXTJOIN(".",1,B237:I237)</f>
        <v/>
      </c>
      <c r="K237" s="46" t="inlineStr">
        <is>
          <t>Л6</t>
        </is>
      </c>
      <c r="L237" s="46" t="inlineStr">
        <is>
          <t>3.3.3.9.4.1</t>
        </is>
      </c>
      <c r="M237" s="47" t="inlineStr">
        <is>
          <t>Прокладка трубы гофрированной диаметром до 32 мм с учетом крепежей и соединительных элементов:Труба легкая гофрированная с протяжкой цвет серый ПВХ D=20мм, 91920, ДКС</t>
        </is>
      </c>
      <c r="N237" s="46" t="inlineStr">
        <is>
          <t>пог. м</t>
        </is>
      </c>
      <c r="O237" s="94">
        <f>P237+Q237+S237+V237</f>
        <v/>
      </c>
      <c r="P237" s="46" t="n"/>
      <c r="Q237" s="46" t="n">
        <v>175</v>
      </c>
      <c r="R237" s="46" t="n">
        <v>175</v>
      </c>
      <c r="S237" s="46" t="n">
        <v>105</v>
      </c>
      <c r="T237" s="46" t="n">
        <v>105</v>
      </c>
      <c r="U237" s="46" t="n">
        <v>70</v>
      </c>
      <c r="V237" s="46" t="n">
        <v>70</v>
      </c>
      <c r="W237" s="46" t="n"/>
      <c r="X237" s="46" t="n"/>
      <c r="Y237" s="46" t="n"/>
      <c r="Z237" s="46" t="n"/>
      <c r="AA237" s="48" t="n"/>
      <c r="AB237" s="179" t="n"/>
      <c r="AC237" s="180" t="n">
        <v>52</v>
      </c>
      <c r="AD237" s="189">
        <f>SUM(AB237:AC237)</f>
        <v/>
      </c>
      <c r="AE237" s="189">
        <f>AB237*$O237</f>
        <v/>
      </c>
      <c r="AF237" s="189">
        <f>AC237*$O237</f>
        <v/>
      </c>
      <c r="AG237" s="189">
        <f>SUM(AE237:AF237)</f>
        <v/>
      </c>
      <c r="AH237" s="182" t="n"/>
    </row>
    <row r="238" outlineLevel="1" ht="25.5" customHeight="1">
      <c r="A238" s="18" t="inlineStr">
        <is>
          <t>О</t>
        </is>
      </c>
      <c r="B238" s="11">
        <f>IF($K238=B$8,1+IF(OFFSET(B238,-1,0)="",0,OFFSET(B238,-1,0)),IF(B$8&lt;$K238,IF(OFFSET(B238,-1,0)="","ERR",OFFSET(B238,-1,0)),""))</f>
        <v/>
      </c>
      <c r="C238" s="11">
        <f>IF($K238=C$8,1+IF(OFFSET(C238,-1,0)="",0,OFFSET(C238,-1,0)),IF(C$8&lt;$K238,IF(OFFSET(C238,-1,0)="","ERR",OFFSET(C238,-1,0)),""))</f>
        <v/>
      </c>
      <c r="D238" s="11">
        <f>IF($K238=D$8,1+IF(OFFSET(D238,-1,0)="",0,OFFSET(D238,-1,0)),IF(D$8&lt;$K238,IF(OFFSET(D238,-1,0)="","ERR",OFFSET(D238,-1,0)),""))</f>
        <v/>
      </c>
      <c r="E238" s="11">
        <f>IF($K238=E$8,1+IF(OFFSET(E238,-1,0)="",0,OFFSET(E238,-1,0)),IF(E$8&lt;$K238,IF(OFFSET(E238,-1,0)="","ERR",OFFSET(E238,-1,0)),""))</f>
        <v/>
      </c>
      <c r="F238" s="11">
        <f>IF($K238=F$8,1+IF(OFFSET(F238,-1,0)="",0,OFFSET(F238,-1,0)),IF(F$8&lt;$K238,IF(OFFSET(F238,-1,0)="","ERR",OFFSET(F238,-1,0)),""))</f>
        <v/>
      </c>
      <c r="G238" s="11">
        <f>IF($K238=G$8,1+IF(OFFSET(G238,-1,0)="",0,OFFSET(G238,-1,0)),IF(G$8&lt;$K238,IF(OFFSET(G238,-1,0)="","ERR",OFFSET(G238,-1,0)),""))</f>
        <v/>
      </c>
      <c r="H238" s="11">
        <f>IF($K238=H$8,1+IF(OFFSET(H238,-1,0)="",0,OFFSET(H238,-1,0)),IF(H$8&lt;$K238,IF(OFFSET(H238,-1,0)="","ERR",OFFSET(H238,-1,0)),""))</f>
        <v/>
      </c>
      <c r="I238" s="11">
        <f>IF($K238=I$8,1+IF(OFFSET(I238,-1,0)="",0,OFFSET(I238,-1,0)),IF(I$8&lt;$K238,IF(OFFSET(I238,-1,0)="","ERR",OFFSET(I238,-1,0)),""))</f>
        <v/>
      </c>
      <c r="J238" s="46">
        <f>_xlfn.TEXTJOIN(".",1,B238:I238)</f>
        <v/>
      </c>
      <c r="K238" s="46" t="inlineStr">
        <is>
          <t>Л6</t>
        </is>
      </c>
      <c r="L238" s="46" t="inlineStr">
        <is>
          <t>3.3.3.9.4.5</t>
        </is>
      </c>
      <c r="M238" s="47" t="inlineStr">
        <is>
          <t>Монтаж гильз из трубы стальной диаметром до 50 мм с последующей противопожарной заделкой: Гильза проходная, стальная D=20х1 мм</t>
        </is>
      </c>
      <c r="N238" s="46" t="inlineStr">
        <is>
          <t>пог. м</t>
        </is>
      </c>
      <c r="O238" s="94">
        <f>P238+Q238+S238+V238</f>
        <v/>
      </c>
      <c r="P238" s="46" t="n"/>
      <c r="Q238" s="46" t="n">
        <v>6.2</v>
      </c>
      <c r="R238" s="46" t="n">
        <v>6.2</v>
      </c>
      <c r="S238" s="46" t="n">
        <v>6.2</v>
      </c>
      <c r="T238" s="46" t="n">
        <v>6.2</v>
      </c>
      <c r="U238" s="46" t="n">
        <v>6.2</v>
      </c>
      <c r="V238" s="46" t="n">
        <v>6.2</v>
      </c>
      <c r="W238" s="46" t="n"/>
      <c r="X238" s="46" t="n"/>
      <c r="Y238" s="46" t="n"/>
      <c r="Z238" s="46" t="n"/>
      <c r="AA238" s="48" t="n"/>
      <c r="AB238" s="179" t="n"/>
      <c r="AC238" s="180" t="n">
        <v>550</v>
      </c>
      <c r="AD238" s="189">
        <f>SUM(AB238:AC238)</f>
        <v/>
      </c>
      <c r="AE238" s="189">
        <f>AB238*$O238</f>
        <v/>
      </c>
      <c r="AF238" s="189">
        <f>AC238*$O238</f>
        <v/>
      </c>
      <c r="AG238" s="189">
        <f>SUM(AE238:AF238)</f>
        <v/>
      </c>
      <c r="AH238" s="182" t="n"/>
    </row>
    <row r="239" outlineLevel="1">
      <c r="A239" s="18" t="n"/>
      <c r="B239" s="11">
        <f>IF($K239=B$8,1+IF(OFFSET(B239,-1,0)="",0,OFFSET(B239,-1,0)),IF(B$8&lt;$K239,IF(OFFSET(B239,-1,0)="","ERR",OFFSET(B239,-1,0)),""))</f>
        <v/>
      </c>
      <c r="C239" s="11">
        <f>IF($K239=C$8,1+IF(OFFSET(C239,-1,0)="",0,OFFSET(C239,-1,0)),IF(C$8&lt;$K239,IF(OFFSET(C239,-1,0)="","ERR",OFFSET(C239,-1,0)),""))</f>
        <v/>
      </c>
      <c r="D239" s="11">
        <f>IF($K239=D$8,1+IF(OFFSET(D239,-1,0)="",0,OFFSET(D239,-1,0)),IF(D$8&lt;$K239,IF(OFFSET(D239,-1,0)="","ERR",OFFSET(D239,-1,0)),""))</f>
        <v/>
      </c>
      <c r="E239" s="11">
        <f>IF($K239=E$8,1+IF(OFFSET(E239,-1,0)="",0,OFFSET(E239,-1,0)),IF(E$8&lt;$K239,IF(OFFSET(E239,-1,0)="","ERR",OFFSET(E239,-1,0)),""))</f>
        <v/>
      </c>
      <c r="F239" s="11">
        <f>IF($K239=F$8,1+IF(OFFSET(F239,-1,0)="",0,OFFSET(F239,-1,0)),IF(F$8&lt;$K239,IF(OFFSET(F239,-1,0)="","ERR",OFFSET(F239,-1,0)),""))</f>
        <v/>
      </c>
      <c r="G239" s="11">
        <f>IF($K239=G$8,1+IF(OFFSET(G239,-1,0)="",0,OFFSET(G239,-1,0)),IF(G$8&lt;$K239,IF(OFFSET(G239,-1,0)="","ERR",OFFSET(G239,-1,0)),""))</f>
        <v/>
      </c>
      <c r="H239" s="11">
        <f>IF($K239=H$8,1+IF(OFFSET(H239,-1,0)="",0,OFFSET(H239,-1,0)),IF(H$8&lt;$K239,IF(OFFSET(H239,-1,0)="","ERR",OFFSET(H239,-1,0)),""))</f>
        <v/>
      </c>
      <c r="I239" s="11">
        <f>IF($K239=I$8,1+IF(OFFSET(I239,-1,0)="",0,OFFSET(I239,-1,0)),IF(I$8&lt;$K239,IF(OFFSET(I239,-1,0)="","ERR",OFFSET(I239,-1,0)),""))</f>
        <v/>
      </c>
      <c r="J239" s="43">
        <f>_xlfn.TEXTJOIN(".",1,B239:I239)</f>
        <v/>
      </c>
      <c r="K239" s="43" t="inlineStr">
        <is>
          <t>Л5</t>
        </is>
      </c>
      <c r="L239" s="43" t="inlineStr">
        <is>
          <t>3.3.3.9.5</t>
        </is>
      </c>
      <c r="M239" s="44" t="inlineStr">
        <is>
          <t>Электромонтажные иделия и материалы</t>
        </is>
      </c>
      <c r="N239" s="43" t="n"/>
      <c r="O239" s="9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5" t="n"/>
      <c r="AB239" s="185" t="n"/>
      <c r="AC239" s="186" t="n"/>
      <c r="AD239" s="186" t="n"/>
      <c r="AE239" s="186" t="n"/>
      <c r="AF239" s="186" t="n"/>
      <c r="AG239" s="186" t="n"/>
      <c r="AH239" s="178" t="n"/>
    </row>
    <row r="240" outlineLevel="1" ht="25.5" customHeight="1">
      <c r="A240" s="18" t="inlineStr">
        <is>
          <t>О</t>
        </is>
      </c>
      <c r="B240" s="11">
        <f>IF($K240=B$8,1+IF(OFFSET(B240,-1,0)="",0,OFFSET(B240,-1,0)),IF(B$8&lt;$K240,IF(OFFSET(B240,-1,0)="","ERR",OFFSET(B240,-1,0)),""))</f>
        <v/>
      </c>
      <c r="C240" s="11">
        <f>IF($K240=C$8,1+IF(OFFSET(C240,-1,0)="",0,OFFSET(C240,-1,0)),IF(C$8&lt;$K240,IF(OFFSET(C240,-1,0)="","ERR",OFFSET(C240,-1,0)),""))</f>
        <v/>
      </c>
      <c r="D240" s="11">
        <f>IF($K240=D$8,1+IF(OFFSET(D240,-1,0)="",0,OFFSET(D240,-1,0)),IF(D$8&lt;$K240,IF(OFFSET(D240,-1,0)="","ERR",OFFSET(D240,-1,0)),""))</f>
        <v/>
      </c>
      <c r="E240" s="11">
        <f>IF($K240=E$8,1+IF(OFFSET(E240,-1,0)="",0,OFFSET(E240,-1,0)),IF(E$8&lt;$K240,IF(OFFSET(E240,-1,0)="","ERR",OFFSET(E240,-1,0)),""))</f>
        <v/>
      </c>
      <c r="F240" s="11">
        <f>IF($K240=F$8,1+IF(OFFSET(F240,-1,0)="",0,OFFSET(F240,-1,0)),IF(F$8&lt;$K240,IF(OFFSET(F240,-1,0)="","ERR",OFFSET(F240,-1,0)),""))</f>
        <v/>
      </c>
      <c r="G240" s="11">
        <f>IF($K240=G$8,1+IF(OFFSET(G240,-1,0)="",0,OFFSET(G240,-1,0)),IF(G$8&lt;$K240,IF(OFFSET(G240,-1,0)="","ERR",OFFSET(G240,-1,0)),""))</f>
        <v/>
      </c>
      <c r="H240" s="11">
        <f>IF($K240=H$8,1+IF(OFFSET(H240,-1,0)="",0,OFFSET(H240,-1,0)),IF(H$8&lt;$K240,IF(OFFSET(H240,-1,0)="","ERR",OFFSET(H240,-1,0)),""))</f>
        <v/>
      </c>
      <c r="I240" s="11">
        <f>IF($K240=I$8,1+IF(OFFSET(I240,-1,0)="",0,OFFSET(I240,-1,0)),IF(I$8&lt;$K240,IF(OFFSET(I240,-1,0)="","ERR",OFFSET(I240,-1,0)),""))</f>
        <v/>
      </c>
      <c r="J240" s="46">
        <f>_xlfn.TEXTJOIN(".",1,B240:I240)</f>
        <v/>
      </c>
      <c r="K240" s="46" t="inlineStr">
        <is>
          <t>Л6</t>
        </is>
      </c>
      <c r="L240" s="46" t="inlineStr">
        <is>
          <t>3.3.3.9.5.1</t>
        </is>
      </c>
      <c r="M240" s="47" t="inlineStr">
        <is>
          <t>Монтаж коробки распределительной, ответвительной, распаячной или протяжной: Коробка монтажная огнестойкая IP54 85х85х40, TYCO 67040, 235372, Рувинил</t>
        </is>
      </c>
      <c r="N240" s="46" t="inlineStr">
        <is>
          <t>шт</t>
        </is>
      </c>
      <c r="O240" s="94">
        <f>P240+Q240+S240+V240</f>
        <v/>
      </c>
      <c r="P240" s="46" t="n"/>
      <c r="Q240" s="46" t="n">
        <v>35</v>
      </c>
      <c r="R240" s="46" t="n">
        <v>35</v>
      </c>
      <c r="S240" s="46" t="n">
        <v>27</v>
      </c>
      <c r="T240" s="46" t="n">
        <v>27</v>
      </c>
      <c r="U240" s="46" t="n">
        <v>20</v>
      </c>
      <c r="V240" s="46" t="n">
        <v>20</v>
      </c>
      <c r="W240" s="46" t="n"/>
      <c r="X240" s="46" t="n"/>
      <c r="Y240" s="46" t="n"/>
      <c r="Z240" s="46" t="n"/>
      <c r="AA240" s="48" t="n"/>
      <c r="AB240" s="179" t="n"/>
      <c r="AC240" s="180" t="n">
        <v>450</v>
      </c>
      <c r="AD240" s="189">
        <f>SUM(AB240:AC240)</f>
        <v/>
      </c>
      <c r="AE240" s="189">
        <f>AB240*$O240</f>
        <v/>
      </c>
      <c r="AF240" s="189">
        <f>AC240*$O240</f>
        <v/>
      </c>
      <c r="AG240" s="189">
        <f>SUM(AE240:AF240)</f>
        <v/>
      </c>
      <c r="AH240" s="182" t="n"/>
    </row>
    <row r="241">
      <c r="A241" s="18" t="n"/>
      <c r="B241" s="11">
        <f>IF($K241=B$8,1+IF(OFFSET(B241,-1,0)="",0,OFFSET(B241,-1,0)),IF(B$8&lt;$K241,IF(OFFSET(B241,-1,0)="","ERR",OFFSET(B241,-1,0)),""))</f>
        <v/>
      </c>
      <c r="C241" s="11">
        <f>IF($K241=C$8,1+IF(OFFSET(C241,-1,0)="",0,OFFSET(C241,-1,0)),IF(C$8&lt;$K241,IF(OFFSET(C241,-1,0)="","ERR",OFFSET(C241,-1,0)),""))</f>
        <v/>
      </c>
      <c r="D241" s="11">
        <f>IF($K241=D$8,1+IF(OFFSET(D241,-1,0)="",0,OFFSET(D241,-1,0)),IF(D$8&lt;$K241,IF(OFFSET(D241,-1,0)="","ERR",OFFSET(D241,-1,0)),""))</f>
        <v/>
      </c>
      <c r="E241" s="11">
        <f>IF($K241=E$8,1+IF(OFFSET(E241,-1,0)="",0,OFFSET(E241,-1,0)),IF(E$8&lt;$K241,IF(OFFSET(E241,-1,0)="","ERR",OFFSET(E241,-1,0)),""))</f>
        <v/>
      </c>
      <c r="F241" s="11">
        <f>IF($K241=F$8,1+IF(OFFSET(F241,-1,0)="",0,OFFSET(F241,-1,0)),IF(F$8&lt;$K241,IF(OFFSET(F241,-1,0)="","ERR",OFFSET(F241,-1,0)),""))</f>
        <v/>
      </c>
      <c r="G241" s="11">
        <f>IF($K241=G$8,1+IF(OFFSET(G241,-1,0)="",0,OFFSET(G241,-1,0)),IF(G$8&lt;$K241,IF(OFFSET(G241,-1,0)="","ERR",OFFSET(G241,-1,0)),""))</f>
        <v/>
      </c>
      <c r="H241" s="11">
        <f>IF($K241=H$8,1+IF(OFFSET(H241,-1,0)="",0,OFFSET(H241,-1,0)),IF(H$8&lt;$K241,IF(OFFSET(H241,-1,0)="","ERR",OFFSET(H241,-1,0)),""))</f>
        <v/>
      </c>
      <c r="I241" s="11">
        <f>IF($K241=I$8,1+IF(OFFSET(I241,-1,0)="",0,OFFSET(I241,-1,0)),IF(I$8&lt;$K241,IF(OFFSET(I241,-1,0)="","ERR",OFFSET(I241,-1,0)),""))</f>
        <v/>
      </c>
      <c r="J241" s="40">
        <f>_xlfn.TEXTJOIN(".",1,B241:I241)</f>
        <v/>
      </c>
      <c r="K241" s="40" t="inlineStr">
        <is>
          <t>Л4</t>
        </is>
      </c>
      <c r="L241" s="40" t="inlineStr">
        <is>
          <t>3.3.3.10</t>
        </is>
      </c>
      <c r="M241" s="41" t="inlineStr">
        <is>
          <t>РФ: Система радиовещания</t>
        </is>
      </c>
      <c r="N241" s="40" t="n"/>
      <c r="O241" s="92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2" t="inlineStr">
        <is>
          <t>ПТ-082022-23-Р-РФ0</t>
        </is>
      </c>
      <c r="AB241" s="183" t="n"/>
      <c r="AC241" s="184" t="n"/>
      <c r="AD241" s="184" t="n"/>
      <c r="AE241" s="184" t="n"/>
      <c r="AF241" s="184" t="n"/>
      <c r="AG241" s="184" t="n"/>
      <c r="AH241" s="175" t="n"/>
    </row>
    <row r="242" outlineLevel="1">
      <c r="A242" s="18" t="n"/>
      <c r="B242" s="11">
        <f>IF($K242=B$8,1+IF(OFFSET(B242,-1,0)="",0,OFFSET(B242,-1,0)),IF(B$8&lt;$K242,IF(OFFSET(B242,-1,0)="","ERR",OFFSET(B242,-1,0)),""))</f>
        <v/>
      </c>
      <c r="C242" s="11">
        <f>IF($K242=C$8,1+IF(OFFSET(C242,-1,0)="",0,OFFSET(C242,-1,0)),IF(C$8&lt;$K242,IF(OFFSET(C242,-1,0)="","ERR",OFFSET(C242,-1,0)),""))</f>
        <v/>
      </c>
      <c r="D242" s="11">
        <f>IF($K242=D$8,1+IF(OFFSET(D242,-1,0)="",0,OFFSET(D242,-1,0)),IF(D$8&lt;$K242,IF(OFFSET(D242,-1,0)="","ERR",OFFSET(D242,-1,0)),""))</f>
        <v/>
      </c>
      <c r="E242" s="11">
        <f>IF($K242=E$8,1+IF(OFFSET(E242,-1,0)="",0,OFFSET(E242,-1,0)),IF(E$8&lt;$K242,IF(OFFSET(E242,-1,0)="","ERR",OFFSET(E242,-1,0)),""))</f>
        <v/>
      </c>
      <c r="F242" s="11">
        <f>IF($K242=F$8,1+IF(OFFSET(F242,-1,0)="",0,OFFSET(F242,-1,0)),IF(F$8&lt;$K242,IF(OFFSET(F242,-1,0)="","ERR",OFFSET(F242,-1,0)),""))</f>
        <v/>
      </c>
      <c r="G242" s="11">
        <f>IF($K242=G$8,1+IF(OFFSET(G242,-1,0)="",0,OFFSET(G242,-1,0)),IF(G$8&lt;$K242,IF(OFFSET(G242,-1,0)="","ERR",OFFSET(G242,-1,0)),""))</f>
        <v/>
      </c>
      <c r="H242" s="11">
        <f>IF($K242=H$8,1+IF(OFFSET(H242,-1,0)="",0,OFFSET(H242,-1,0)),IF(H$8&lt;$K242,IF(OFFSET(H242,-1,0)="","ERR",OFFSET(H242,-1,0)),""))</f>
        <v/>
      </c>
      <c r="I242" s="11">
        <f>IF($K242=I$8,1+IF(OFFSET(I242,-1,0)="",0,OFFSET(I242,-1,0)),IF(I$8&lt;$K242,IF(OFFSET(I242,-1,0)="","ERR",OFFSET(I242,-1,0)),""))</f>
        <v/>
      </c>
      <c r="J242" s="43">
        <f>_xlfn.TEXTJOIN(".",1,B242:I242)</f>
        <v/>
      </c>
      <c r="K242" s="43" t="inlineStr">
        <is>
          <t>Л5</t>
        </is>
      </c>
      <c r="L242" s="43" t="inlineStr">
        <is>
          <t>3.3.3.10.1</t>
        </is>
      </c>
      <c r="M242" s="44" t="inlineStr">
        <is>
          <t>Шкафы телекоммуникационные</t>
        </is>
      </c>
      <c r="N242" s="43" t="n"/>
      <c r="O242" s="9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5" t="n"/>
      <c r="AB242" s="185" t="n"/>
      <c r="AC242" s="186" t="n"/>
      <c r="AD242" s="186" t="n"/>
      <c r="AE242" s="186" t="n"/>
      <c r="AF242" s="186" t="n"/>
      <c r="AG242" s="186" t="n"/>
      <c r="AH242" s="178" t="n"/>
    </row>
    <row r="243" outlineLevel="1">
      <c r="A243" s="18" t="inlineStr">
        <is>
          <t>О</t>
        </is>
      </c>
      <c r="B243" s="11">
        <f>IF($K243=B$8,1+IF(OFFSET(B243,-1,0)="",0,OFFSET(B243,-1,0)),IF(B$8&lt;$K243,IF(OFFSET(B243,-1,0)="","ERR",OFFSET(B243,-1,0)),""))</f>
        <v/>
      </c>
      <c r="C243" s="11">
        <f>IF($K243=C$8,1+IF(OFFSET(C243,-1,0)="",0,OFFSET(C243,-1,0)),IF(C$8&lt;$K243,IF(OFFSET(C243,-1,0)="","ERR",OFFSET(C243,-1,0)),""))</f>
        <v/>
      </c>
      <c r="D243" s="11">
        <f>IF($K243=D$8,1+IF(OFFSET(D243,-1,0)="",0,OFFSET(D243,-1,0)),IF(D$8&lt;$K243,IF(OFFSET(D243,-1,0)="","ERR",OFFSET(D243,-1,0)),""))</f>
        <v/>
      </c>
      <c r="E243" s="11">
        <f>IF($K243=E$8,1+IF(OFFSET(E243,-1,0)="",0,OFFSET(E243,-1,0)),IF(E$8&lt;$K243,IF(OFFSET(E243,-1,0)="","ERR",OFFSET(E243,-1,0)),""))</f>
        <v/>
      </c>
      <c r="F243" s="11">
        <f>IF($K243=F$8,1+IF(OFFSET(F243,-1,0)="",0,OFFSET(F243,-1,0)),IF(F$8&lt;$K243,IF(OFFSET(F243,-1,0)="","ERR",OFFSET(F243,-1,0)),""))</f>
        <v/>
      </c>
      <c r="G243" s="11">
        <f>IF($K243=G$8,1+IF(OFFSET(G243,-1,0)="",0,OFFSET(G243,-1,0)),IF(G$8&lt;$K243,IF(OFFSET(G243,-1,0)="","ERR",OFFSET(G243,-1,0)),""))</f>
        <v/>
      </c>
      <c r="H243" s="11">
        <f>IF($K243=H$8,1+IF(OFFSET(H243,-1,0)="",0,OFFSET(H243,-1,0)),IF(H$8&lt;$K243,IF(OFFSET(H243,-1,0)="","ERR",OFFSET(H243,-1,0)),""))</f>
        <v/>
      </c>
      <c r="I243" s="11">
        <f>IF($K243=I$8,1+IF(OFFSET(I243,-1,0)="",0,OFFSET(I243,-1,0)),IF(I$8&lt;$K243,IF(OFFSET(I243,-1,0)="","ERR",OFFSET(I243,-1,0)),""))</f>
        <v/>
      </c>
      <c r="J243" s="46">
        <f>_xlfn.TEXTJOIN(".",1,B243:I243)</f>
        <v/>
      </c>
      <c r="K243" s="46" t="inlineStr">
        <is>
          <t>Л6</t>
        </is>
      </c>
      <c r="L243" s="46" t="inlineStr">
        <is>
          <t>3.3.3.10.1.2</t>
        </is>
      </c>
      <c r="M243" s="47" t="inlineStr">
        <is>
          <t>Монтаж телекоммуникационного шкафа/стойка (ТШ) навесного комплектного</t>
        </is>
      </c>
      <c r="N243" s="46" t="inlineStr">
        <is>
          <t>компл</t>
        </is>
      </c>
      <c r="O243" s="94">
        <f>P243+Q243+S243+V243</f>
        <v/>
      </c>
      <c r="P243" s="46" t="n"/>
      <c r="Q243" s="46" t="n"/>
      <c r="R243" s="46" t="n"/>
      <c r="S243" s="46" t="n">
        <v>1</v>
      </c>
      <c r="T243" s="46" t="n">
        <v>1</v>
      </c>
      <c r="U243" s="46" t="n"/>
      <c r="V243" s="46" t="n"/>
      <c r="W243" s="46" t="n"/>
      <c r="X243" s="46" t="n"/>
      <c r="Y243" s="46" t="n"/>
      <c r="Z243" s="46" t="n"/>
      <c r="AA243" s="48" t="n"/>
      <c r="AB243" s="187" t="n"/>
      <c r="AC243" s="180" t="n">
        <v>27000</v>
      </c>
      <c r="AD243" s="189">
        <f>SUM(AB243:AC243)</f>
        <v/>
      </c>
      <c r="AE243" s="189">
        <f>AB243*$O243</f>
        <v/>
      </c>
      <c r="AF243" s="189">
        <f>AC243*$O243</f>
        <v/>
      </c>
      <c r="AG243" s="189">
        <f>SUM(AE243:AF243)</f>
        <v/>
      </c>
      <c r="AH243" s="182" t="n"/>
    </row>
    <row r="244" outlineLevel="1" ht="25.5" customHeight="1">
      <c r="A244" s="18" t="inlineStr">
        <is>
          <t>О</t>
        </is>
      </c>
      <c r="B244" s="11">
        <f>IF($K244=B$8,1+IF(OFFSET(B244,-1,0)="",0,OFFSET(B244,-1,0)),IF(B$8&lt;$K244,IF(OFFSET(B244,-1,0)="","ERR",OFFSET(B244,-1,0)),""))</f>
        <v/>
      </c>
      <c r="C244" s="11">
        <f>IF($K244=C$8,1+IF(OFFSET(C244,-1,0)="",0,OFFSET(C244,-1,0)),IF(C$8&lt;$K244,IF(OFFSET(C244,-1,0)="","ERR",OFFSET(C244,-1,0)),""))</f>
        <v/>
      </c>
      <c r="D244" s="11">
        <f>IF($K244=D$8,1+IF(OFFSET(D244,-1,0)="",0,OFFSET(D244,-1,0)),IF(D$8&lt;$K244,IF(OFFSET(D244,-1,0)="","ERR",OFFSET(D244,-1,0)),""))</f>
        <v/>
      </c>
      <c r="E244" s="11">
        <f>IF($K244=E$8,1+IF(OFFSET(E244,-1,0)="",0,OFFSET(E244,-1,0)),IF(E$8&lt;$K244,IF(OFFSET(E244,-1,0)="","ERR",OFFSET(E244,-1,0)),""))</f>
        <v/>
      </c>
      <c r="F244" s="11">
        <f>IF($K244=F$8,1+IF(OFFSET(F244,-1,0)="",0,OFFSET(F244,-1,0)),IF(F$8&lt;$K244,IF(OFFSET(F244,-1,0)="","ERR",OFFSET(F244,-1,0)),""))</f>
        <v/>
      </c>
      <c r="G244" s="11">
        <f>IF($K244=G$8,1+IF(OFFSET(G244,-1,0)="",0,OFFSET(G244,-1,0)),IF(G$8&lt;$K244,IF(OFFSET(G244,-1,0)="","ERR",OFFSET(G244,-1,0)),""))</f>
        <v/>
      </c>
      <c r="H244" s="11">
        <f>IF($K244=H$8,1+IF(OFFSET(H244,-1,0)="",0,OFFSET(H244,-1,0)),IF(H$8&lt;$K244,IF(OFFSET(H244,-1,0)="","ERR",OFFSET(H244,-1,0)),""))</f>
        <v/>
      </c>
      <c r="I244" s="11">
        <f>IF($K244=I$8,1+IF(OFFSET(I244,-1,0)="",0,OFFSET(I244,-1,0)),IF(I$8&lt;$K244,IF(OFFSET(I244,-1,0)="","ERR",OFFSET(I244,-1,0)),""))</f>
        <v/>
      </c>
      <c r="J244" s="46">
        <f>_xlfn.TEXTJOIN(".",1,B244:I244)</f>
        <v/>
      </c>
      <c r="K244" s="46" t="inlineStr">
        <is>
          <t>Л7</t>
        </is>
      </c>
      <c r="L244" s="46" t="n"/>
      <c r="M244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44" s="46" t="inlineStr">
        <is>
          <t>шт.</t>
        </is>
      </c>
      <c r="O244" s="94">
        <f>P244+Q244+S244+V244</f>
        <v/>
      </c>
      <c r="P244" s="46" t="n"/>
      <c r="Q244" s="46" t="n"/>
      <c r="R244" s="46" t="n"/>
      <c r="S244" s="46" t="n">
        <v>1</v>
      </c>
      <c r="T244" s="46" t="n">
        <v>1</v>
      </c>
      <c r="U244" s="46" t="n"/>
      <c r="V244" s="46" t="n"/>
      <c r="W244" s="46" t="n"/>
      <c r="X244" s="46" t="n"/>
      <c r="Y244" s="46" t="n"/>
      <c r="Z244" s="46" t="n"/>
      <c r="AA244" s="48" t="n"/>
      <c r="AB244" s="179" t="n"/>
      <c r="AC244" s="189" t="n"/>
      <c r="AD244" s="189">
        <f>SUM(AB244:AC244)</f>
        <v/>
      </c>
      <c r="AE244" s="189">
        <f>AB244*$O244</f>
        <v/>
      </c>
      <c r="AF244" s="189">
        <f>AC244*$O244</f>
        <v/>
      </c>
      <c r="AG244" s="189">
        <f>SUM(AE244:AF244)</f>
        <v/>
      </c>
      <c r="AH244" s="182" t="n"/>
    </row>
    <row r="245" outlineLevel="1">
      <c r="A245" s="18" t="inlineStr">
        <is>
          <t>О</t>
        </is>
      </c>
      <c r="B245" s="11">
        <f>IF($K245=B$8,1+IF(OFFSET(B245,-1,0)="",0,OFFSET(B245,-1,0)),IF(B$8&lt;$K245,IF(OFFSET(B245,-1,0)="","ERR",OFFSET(B245,-1,0)),""))</f>
        <v/>
      </c>
      <c r="C245" s="11">
        <f>IF($K245=C$8,1+IF(OFFSET(C245,-1,0)="",0,OFFSET(C245,-1,0)),IF(C$8&lt;$K245,IF(OFFSET(C245,-1,0)="","ERR",OFFSET(C245,-1,0)),""))</f>
        <v/>
      </c>
      <c r="D245" s="11">
        <f>IF($K245=D$8,1+IF(OFFSET(D245,-1,0)="",0,OFFSET(D245,-1,0)),IF(D$8&lt;$K245,IF(OFFSET(D245,-1,0)="","ERR",OFFSET(D245,-1,0)),""))</f>
        <v/>
      </c>
      <c r="E245" s="11">
        <f>IF($K245=E$8,1+IF(OFFSET(E245,-1,0)="",0,OFFSET(E245,-1,0)),IF(E$8&lt;$K245,IF(OFFSET(E245,-1,0)="","ERR",OFFSET(E245,-1,0)),""))</f>
        <v/>
      </c>
      <c r="F245" s="11">
        <f>IF($K245=F$8,1+IF(OFFSET(F245,-1,0)="",0,OFFSET(F245,-1,0)),IF(F$8&lt;$K245,IF(OFFSET(F245,-1,0)="","ERR",OFFSET(F245,-1,0)),""))</f>
        <v/>
      </c>
      <c r="G245" s="11">
        <f>IF($K245=G$8,1+IF(OFFSET(G245,-1,0)="",0,OFFSET(G245,-1,0)),IF(G$8&lt;$K245,IF(OFFSET(G245,-1,0)="","ERR",OFFSET(G245,-1,0)),""))</f>
        <v/>
      </c>
      <c r="H245" s="11">
        <f>IF($K245=H$8,1+IF(OFFSET(H245,-1,0)="",0,OFFSET(H245,-1,0)),IF(H$8&lt;$K245,IF(OFFSET(H245,-1,0)="","ERR",OFFSET(H245,-1,0)),""))</f>
        <v/>
      </c>
      <c r="I245" s="11">
        <f>IF($K245=I$8,1+IF(OFFSET(I245,-1,0)="",0,OFFSET(I245,-1,0)),IF(I$8&lt;$K245,IF(OFFSET(I245,-1,0)="","ERR",OFFSET(I245,-1,0)),""))</f>
        <v/>
      </c>
      <c r="J245" s="46">
        <f>_xlfn.TEXTJOIN(".",1,B245:I245)</f>
        <v/>
      </c>
      <c r="K245" s="46" t="inlineStr">
        <is>
          <t>Л7</t>
        </is>
      </c>
      <c r="L245" s="46" t="n"/>
      <c r="M245" s="47" t="inlineStr">
        <is>
          <t>Перфорированная полка глубиной 400 мм, 8620c, Cabeus</t>
        </is>
      </c>
      <c r="N245" s="46" t="inlineStr">
        <is>
          <t>шт.</t>
        </is>
      </c>
      <c r="O245" s="94">
        <f>P245+Q245+S245+V245</f>
        <v/>
      </c>
      <c r="P245" s="46" t="n"/>
      <c r="Q245" s="46" t="n"/>
      <c r="R245" s="46" t="n"/>
      <c r="S245" s="46" t="n">
        <v>1</v>
      </c>
      <c r="T245" s="46" t="n">
        <v>1</v>
      </c>
      <c r="U245" s="46" t="n"/>
      <c r="V245" s="46" t="n"/>
      <c r="W245" s="46" t="n"/>
      <c r="X245" s="46" t="n"/>
      <c r="Y245" s="46" t="n"/>
      <c r="Z245" s="46" t="n"/>
      <c r="AA245" s="48" t="n"/>
      <c r="AB245" s="179" t="n"/>
      <c r="AC245" s="189" t="n"/>
      <c r="AD245" s="189">
        <f>SUM(AB245:AC245)</f>
        <v/>
      </c>
      <c r="AE245" s="189">
        <f>AB245*$O245</f>
        <v/>
      </c>
      <c r="AF245" s="189">
        <f>AC245*$O245</f>
        <v/>
      </c>
      <c r="AG245" s="189">
        <f>SUM(AE245:AF245)</f>
        <v/>
      </c>
      <c r="AH245" s="182" t="n"/>
    </row>
    <row r="246" outlineLevel="1" ht="18.75" customHeight="1">
      <c r="A246" s="18" t="inlineStr">
        <is>
          <t>О</t>
        </is>
      </c>
      <c r="B246" s="11">
        <f>IF($K246=B$8,1+IF(OFFSET(B246,-1,0)="",0,OFFSET(B246,-1,0)),IF(B$8&lt;$K246,IF(OFFSET(B246,-1,0)="","ERR",OFFSET(B246,-1,0)),""))</f>
        <v/>
      </c>
      <c r="C246" s="11">
        <f>IF($K246=C$8,1+IF(OFFSET(C246,-1,0)="",0,OFFSET(C246,-1,0)),IF(C$8&lt;$K246,IF(OFFSET(C246,-1,0)="","ERR",OFFSET(C246,-1,0)),""))</f>
        <v/>
      </c>
      <c r="D246" s="11">
        <f>IF($K246=D$8,1+IF(OFFSET(D246,-1,0)="",0,OFFSET(D246,-1,0)),IF(D$8&lt;$K246,IF(OFFSET(D246,-1,0)="","ERR",OFFSET(D246,-1,0)),""))</f>
        <v/>
      </c>
      <c r="E246" s="11">
        <f>IF($K246=E$8,1+IF(OFFSET(E246,-1,0)="",0,OFFSET(E246,-1,0)),IF(E$8&lt;$K246,IF(OFFSET(E246,-1,0)="","ERR",OFFSET(E246,-1,0)),""))</f>
        <v/>
      </c>
      <c r="F246" s="11">
        <f>IF($K246=F$8,1+IF(OFFSET(F246,-1,0)="",0,OFFSET(F246,-1,0)),IF(F$8&lt;$K246,IF(OFFSET(F246,-1,0)="","ERR",OFFSET(F246,-1,0)),""))</f>
        <v/>
      </c>
      <c r="G246" s="11">
        <f>IF($K246=G$8,1+IF(OFFSET(G246,-1,0)="",0,OFFSET(G246,-1,0)),IF(G$8&lt;$K246,IF(OFFSET(G246,-1,0)="","ERR",OFFSET(G246,-1,0)),""))</f>
        <v/>
      </c>
      <c r="H246" s="11">
        <f>IF($K246=H$8,1+IF(OFFSET(H246,-1,0)="",0,OFFSET(H246,-1,0)),IF(H$8&lt;$K246,IF(OFFSET(H246,-1,0)="","ERR",OFFSET(H246,-1,0)),""))</f>
        <v/>
      </c>
      <c r="I246" s="11">
        <f>IF($K246=I$8,1+IF(OFFSET(I246,-1,0)="",0,OFFSET(I246,-1,0)),IF(I$8&lt;$K246,IF(OFFSET(I246,-1,0)="","ERR",OFFSET(I246,-1,0)),""))</f>
        <v/>
      </c>
      <c r="J246" s="49">
        <f>_xlfn.TEXTJOIN(".",1,B246:I246)</f>
        <v/>
      </c>
      <c r="K246" s="49" t="inlineStr">
        <is>
          <t>Л7</t>
        </is>
      </c>
      <c r="L246" s="49" t="n"/>
      <c r="M246" s="63" t="inlineStr">
        <is>
          <t>Модуль ввода-вывода, LPA-2401NBS, LPA</t>
        </is>
      </c>
      <c r="N246" s="49" t="inlineStr">
        <is>
          <t>шт.</t>
        </is>
      </c>
      <c r="O246" s="50">
        <f>P246+Q246+S246+V246</f>
        <v/>
      </c>
      <c r="P246" s="49" t="n"/>
      <c r="Q246" s="49" t="n"/>
      <c r="R246" s="49" t="n"/>
      <c r="S246" s="49" t="n">
        <v>1</v>
      </c>
      <c r="T246" s="49" t="n">
        <v>1</v>
      </c>
      <c r="U246" s="49" t="n"/>
      <c r="V246" s="49" t="n"/>
      <c r="W246" s="50" t="n">
        <v>1</v>
      </c>
      <c r="X246" s="26" t="n">
        <v>5040070405</v>
      </c>
      <c r="Y246" s="26" t="n">
        <v>772201001</v>
      </c>
      <c r="Z246" s="26" t="inlineStr">
        <is>
          <t>ООО "ЛУИС+"</t>
        </is>
      </c>
      <c r="AA246" s="51" t="inlineStr">
        <is>
          <t>ГТ</t>
        </is>
      </c>
      <c r="AB246" s="188" t="n"/>
      <c r="AC246" s="189" t="n"/>
      <c r="AD246" s="190">
        <f>SUM(AB246:AC246)</f>
        <v/>
      </c>
      <c r="AE246" s="190">
        <f>AB246*$O246*$W246</f>
        <v/>
      </c>
      <c r="AF246" s="190">
        <f>AC246*$O246*$W246</f>
        <v/>
      </c>
      <c r="AG246" s="190">
        <f>SUM(AE246:AF246)</f>
        <v/>
      </c>
      <c r="AH246" s="182" t="n"/>
    </row>
    <row r="247" outlineLevel="1">
      <c r="A247" s="18" t="inlineStr">
        <is>
          <t>О</t>
        </is>
      </c>
      <c r="B247" s="11">
        <f>IF($K247=B$8,1+IF(OFFSET(B247,-1,0)="",0,OFFSET(B247,-1,0)),IF(B$8&lt;$K247,IF(OFFSET(B247,-1,0)="","ERR",OFFSET(B247,-1,0)),""))</f>
        <v/>
      </c>
      <c r="C247" s="11">
        <f>IF($K247=C$8,1+IF(OFFSET(C247,-1,0)="",0,OFFSET(C247,-1,0)),IF(C$8&lt;$K247,IF(OFFSET(C247,-1,0)="","ERR",OFFSET(C247,-1,0)),""))</f>
        <v/>
      </c>
      <c r="D247" s="11">
        <f>IF($K247=D$8,1+IF(OFFSET(D247,-1,0)="",0,OFFSET(D247,-1,0)),IF(D$8&lt;$K247,IF(OFFSET(D247,-1,0)="","ERR",OFFSET(D247,-1,0)),""))</f>
        <v/>
      </c>
      <c r="E247" s="11">
        <f>IF($K247=E$8,1+IF(OFFSET(E247,-1,0)="",0,OFFSET(E247,-1,0)),IF(E$8&lt;$K247,IF(OFFSET(E247,-1,0)="","ERR",OFFSET(E247,-1,0)),""))</f>
        <v/>
      </c>
      <c r="F247" s="11">
        <f>IF($K247=F$8,1+IF(OFFSET(F247,-1,0)="",0,OFFSET(F247,-1,0)),IF(F$8&lt;$K247,IF(OFFSET(F247,-1,0)="","ERR",OFFSET(F247,-1,0)),""))</f>
        <v/>
      </c>
      <c r="G247" s="11">
        <f>IF($K247=G$8,1+IF(OFFSET(G247,-1,0)="",0,OFFSET(G247,-1,0)),IF(G$8&lt;$K247,IF(OFFSET(G247,-1,0)="","ERR",OFFSET(G247,-1,0)),""))</f>
        <v/>
      </c>
      <c r="H247" s="11">
        <f>IF($K247=H$8,1+IF(OFFSET(H247,-1,0)="",0,OFFSET(H247,-1,0)),IF(H$8&lt;$K247,IF(OFFSET(H247,-1,0)="","ERR",OFFSET(H247,-1,0)),""))</f>
        <v/>
      </c>
      <c r="I247" s="11">
        <f>IF($K247=I$8,1+IF(OFFSET(I247,-1,0)="",0,OFFSET(I247,-1,0)),IF(I$8&lt;$K247,IF(OFFSET(I247,-1,0)="","ERR",OFFSET(I247,-1,0)),""))</f>
        <v/>
      </c>
      <c r="J247" s="46">
        <f>_xlfn.TEXTJOIN(".",1,B247:I247)</f>
        <v/>
      </c>
      <c r="K247" s="46" t="inlineStr">
        <is>
          <t>Л7</t>
        </is>
      </c>
      <c r="L247" s="46" t="n"/>
      <c r="M247" s="47" t="inlineStr">
        <is>
          <t>Блок распределения сигналов, БРС-ЮПТП, ЮПТП</t>
        </is>
      </c>
      <c r="N247" s="46" t="inlineStr">
        <is>
          <t>шт.</t>
        </is>
      </c>
      <c r="O247" s="94">
        <f>P247+Q247+S247+V247</f>
        <v/>
      </c>
      <c r="P247" s="46" t="n"/>
      <c r="Q247" s="46" t="n"/>
      <c r="R247" s="46" t="n"/>
      <c r="S247" s="46" t="n">
        <v>1</v>
      </c>
      <c r="T247" s="46" t="n">
        <v>1</v>
      </c>
      <c r="U247" s="46" t="n"/>
      <c r="V247" s="46" t="n"/>
      <c r="W247" s="46" t="n"/>
      <c r="X247" s="46" t="n"/>
      <c r="Y247" s="46" t="n"/>
      <c r="Z247" s="46" t="n"/>
      <c r="AA247" s="48" t="n"/>
      <c r="AB247" s="179" t="n"/>
      <c r="AC247" s="189" t="n"/>
      <c r="AD247" s="189">
        <f>SUM(AB247:AC247)</f>
        <v/>
      </c>
      <c r="AE247" s="189">
        <f>AB247*$O247</f>
        <v/>
      </c>
      <c r="AF247" s="189">
        <f>AC247*$O247</f>
        <v/>
      </c>
      <c r="AG247" s="189">
        <f>SUM(AE247:AF247)</f>
        <v/>
      </c>
      <c r="AH247" s="182" t="n"/>
    </row>
    <row r="248" outlineLevel="1">
      <c r="A248" s="18" t="inlineStr">
        <is>
          <t>О</t>
        </is>
      </c>
      <c r="B248" s="11">
        <f>IF($K248=B$8,1+IF(OFFSET(B248,-1,0)="",0,OFFSET(B248,-1,0)),IF(B$8&lt;$K248,IF(OFFSET(B248,-1,0)="","ERR",OFFSET(B248,-1,0)),""))</f>
        <v/>
      </c>
      <c r="C248" s="11">
        <f>IF($K248=C$8,1+IF(OFFSET(C248,-1,0)="",0,OFFSET(C248,-1,0)),IF(C$8&lt;$K248,IF(OFFSET(C248,-1,0)="","ERR",OFFSET(C248,-1,0)),""))</f>
        <v/>
      </c>
      <c r="D248" s="11">
        <f>IF($K248=D$8,1+IF(OFFSET(D248,-1,0)="",0,OFFSET(D248,-1,0)),IF(D$8&lt;$K248,IF(OFFSET(D248,-1,0)="","ERR",OFFSET(D248,-1,0)),""))</f>
        <v/>
      </c>
      <c r="E248" s="11">
        <f>IF($K248=E$8,1+IF(OFFSET(E248,-1,0)="",0,OFFSET(E248,-1,0)),IF(E$8&lt;$K248,IF(OFFSET(E248,-1,0)="","ERR",OFFSET(E248,-1,0)),""))</f>
        <v/>
      </c>
      <c r="F248" s="11">
        <f>IF($K248=F$8,1+IF(OFFSET(F248,-1,0)="",0,OFFSET(F248,-1,0)),IF(F$8&lt;$K248,IF(OFFSET(F248,-1,0)="","ERR",OFFSET(F248,-1,0)),""))</f>
        <v/>
      </c>
      <c r="G248" s="11">
        <f>IF($K248=G$8,1+IF(OFFSET(G248,-1,0)="",0,OFFSET(G248,-1,0)),IF(G$8&lt;$K248,IF(OFFSET(G248,-1,0)="","ERR",OFFSET(G248,-1,0)),""))</f>
        <v/>
      </c>
      <c r="H248" s="11">
        <f>IF($K248=H$8,1+IF(OFFSET(H248,-1,0)="",0,OFFSET(H248,-1,0)),IF(H$8&lt;$K248,IF(OFFSET(H248,-1,0)="","ERR",OFFSET(H248,-1,0)),""))</f>
        <v/>
      </c>
      <c r="I248" s="11">
        <f>IF($K248=I$8,1+IF(OFFSET(I248,-1,0)="",0,OFFSET(I248,-1,0)),IF(I$8&lt;$K248,IF(OFFSET(I248,-1,0)="","ERR",OFFSET(I248,-1,0)),""))</f>
        <v/>
      </c>
      <c r="J248" s="46">
        <f>_xlfn.TEXTJOIN(".",1,B248:I248)</f>
        <v/>
      </c>
      <c r="K248" s="46" t="inlineStr">
        <is>
          <t>Л7</t>
        </is>
      </c>
      <c r="L248" s="46" t="n"/>
      <c r="M248" s="47" t="inlineStr">
        <is>
          <t>Адаптер питания 12 В, ЮПТП</t>
        </is>
      </c>
      <c r="N248" s="46" t="inlineStr">
        <is>
          <t>шт.</t>
        </is>
      </c>
      <c r="O248" s="94">
        <f>P248+Q248+S248+V248</f>
        <v/>
      </c>
      <c r="P248" s="46" t="n"/>
      <c r="Q248" s="46" t="n"/>
      <c r="R248" s="46" t="n"/>
      <c r="S248" s="46" t="n">
        <v>1</v>
      </c>
      <c r="T248" s="46" t="n">
        <v>1</v>
      </c>
      <c r="U248" s="46" t="n"/>
      <c r="V248" s="46" t="n"/>
      <c r="W248" s="46" t="n"/>
      <c r="X248" s="46" t="n"/>
      <c r="Y248" s="46" t="n"/>
      <c r="Z248" s="46" t="n"/>
      <c r="AA248" s="48" t="n"/>
      <c r="AB248" s="179" t="n"/>
      <c r="AC248" s="189" t="n"/>
      <c r="AD248" s="189">
        <f>SUM(AB248:AC248)</f>
        <v/>
      </c>
      <c r="AE248" s="189">
        <f>AB248*$O248</f>
        <v/>
      </c>
      <c r="AF248" s="189">
        <f>AC248*$O248</f>
        <v/>
      </c>
      <c r="AG248" s="189">
        <f>SUM(AE248:AF248)</f>
        <v/>
      </c>
      <c r="AH248" s="182" t="n"/>
    </row>
    <row r="249" outlineLevel="1">
      <c r="A249" s="18" t="inlineStr">
        <is>
          <t>О</t>
        </is>
      </c>
      <c r="B249" s="11">
        <f>IF($K249=B$8,1+IF(OFFSET(B249,-1,0)="",0,OFFSET(B249,-1,0)),IF(B$8&lt;$K249,IF(OFFSET(B249,-1,0)="","ERR",OFFSET(B249,-1,0)),""))</f>
        <v/>
      </c>
      <c r="C249" s="11">
        <f>IF($K249=C$8,1+IF(OFFSET(C249,-1,0)="",0,OFFSET(C249,-1,0)),IF(C$8&lt;$K249,IF(OFFSET(C249,-1,0)="","ERR",OFFSET(C249,-1,0)),""))</f>
        <v/>
      </c>
      <c r="D249" s="11">
        <f>IF($K249=D$8,1+IF(OFFSET(D249,-1,0)="",0,OFFSET(D249,-1,0)),IF(D$8&lt;$K249,IF(OFFSET(D249,-1,0)="","ERR",OFFSET(D249,-1,0)),""))</f>
        <v/>
      </c>
      <c r="E249" s="11">
        <f>IF($K249=E$8,1+IF(OFFSET(E249,-1,0)="",0,OFFSET(E249,-1,0)),IF(E$8&lt;$K249,IF(OFFSET(E249,-1,0)="","ERR",OFFSET(E249,-1,0)),""))</f>
        <v/>
      </c>
      <c r="F249" s="11">
        <f>IF($K249=F$8,1+IF(OFFSET(F249,-1,0)="",0,OFFSET(F249,-1,0)),IF(F$8&lt;$K249,IF(OFFSET(F249,-1,0)="","ERR",OFFSET(F249,-1,0)),""))</f>
        <v/>
      </c>
      <c r="G249" s="11">
        <f>IF($K249=G$8,1+IF(OFFSET(G249,-1,0)="",0,OFFSET(G249,-1,0)),IF(G$8&lt;$K249,IF(OFFSET(G249,-1,0)="","ERR",OFFSET(G249,-1,0)),""))</f>
        <v/>
      </c>
      <c r="H249" s="11">
        <f>IF($K249=H$8,1+IF(OFFSET(H249,-1,0)="",0,OFFSET(H249,-1,0)),IF(H$8&lt;$K249,IF(OFFSET(H249,-1,0)="","ERR",OFFSET(H249,-1,0)),""))</f>
        <v/>
      </c>
      <c r="I249" s="11">
        <f>IF($K249=I$8,1+IF(OFFSET(I249,-1,0)="",0,OFFSET(I249,-1,0)),IF(I$8&lt;$K249,IF(OFFSET(I249,-1,0)="","ERR",OFFSET(I249,-1,0)),""))</f>
        <v/>
      </c>
      <c r="J249" s="46">
        <f>_xlfn.TEXTJOIN(".",1,B249:I249)</f>
        <v/>
      </c>
      <c r="K249" s="46" t="inlineStr">
        <is>
          <t>Л7</t>
        </is>
      </c>
      <c r="L249" s="46" t="n"/>
      <c r="M249" s="47" t="inlineStr">
        <is>
          <t>Источник бесперебойного питания ,  «Штиль» STR1101SL , ООО «Штиль Энерго»</t>
        </is>
      </c>
      <c r="N249" s="46" t="inlineStr">
        <is>
          <t>шт.</t>
        </is>
      </c>
      <c r="O249" s="94">
        <f>P249+Q249+S249+V249</f>
        <v/>
      </c>
      <c r="P249" s="46" t="n"/>
      <c r="Q249" s="46" t="n"/>
      <c r="R249" s="46" t="n"/>
      <c r="S249" s="46" t="n">
        <v>1</v>
      </c>
      <c r="T249" s="46" t="n">
        <v>1</v>
      </c>
      <c r="U249" s="46" t="n"/>
      <c r="V249" s="46" t="n"/>
      <c r="W249" s="46" t="n"/>
      <c r="X249" s="46" t="n"/>
      <c r="Y249" s="46" t="n"/>
      <c r="Z249" s="46" t="n"/>
      <c r="AA249" s="48" t="n"/>
      <c r="AB249" s="179" t="n"/>
      <c r="AC249" s="189" t="n"/>
      <c r="AD249" s="189">
        <f>SUM(AB249:AC249)</f>
        <v/>
      </c>
      <c r="AE249" s="189">
        <f>AB249*$O249</f>
        <v/>
      </c>
      <c r="AF249" s="189">
        <f>AC249*$O249</f>
        <v/>
      </c>
      <c r="AG249" s="189">
        <f>SUM(AE249:AF249)</f>
        <v/>
      </c>
      <c r="AH249" s="182" t="n"/>
    </row>
    <row r="250" outlineLevel="1">
      <c r="A250" s="18" t="inlineStr">
        <is>
          <t>О</t>
        </is>
      </c>
      <c r="B250" s="11">
        <f>IF($K250=B$8,1+IF(OFFSET(B250,-1,0)="",0,OFFSET(B250,-1,0)),IF(B$8&lt;$K250,IF(OFFSET(B250,-1,0)="","ERR",OFFSET(B250,-1,0)),""))</f>
        <v/>
      </c>
      <c r="C250" s="11">
        <f>IF($K250=C$8,1+IF(OFFSET(C250,-1,0)="",0,OFFSET(C250,-1,0)),IF(C$8&lt;$K250,IF(OFFSET(C250,-1,0)="","ERR",OFFSET(C250,-1,0)),""))</f>
        <v/>
      </c>
      <c r="D250" s="11">
        <f>IF($K250=D$8,1+IF(OFFSET(D250,-1,0)="",0,OFFSET(D250,-1,0)),IF(D$8&lt;$K250,IF(OFFSET(D250,-1,0)="","ERR",OFFSET(D250,-1,0)),""))</f>
        <v/>
      </c>
      <c r="E250" s="11">
        <f>IF($K250=E$8,1+IF(OFFSET(E250,-1,0)="",0,OFFSET(E250,-1,0)),IF(E$8&lt;$K250,IF(OFFSET(E250,-1,0)="","ERR",OFFSET(E250,-1,0)),""))</f>
        <v/>
      </c>
      <c r="F250" s="11">
        <f>IF($K250=F$8,1+IF(OFFSET(F250,-1,0)="",0,OFFSET(F250,-1,0)),IF(F$8&lt;$K250,IF(OFFSET(F250,-1,0)="","ERR",OFFSET(F250,-1,0)),""))</f>
        <v/>
      </c>
      <c r="G250" s="11">
        <f>IF($K250=G$8,1+IF(OFFSET(G250,-1,0)="",0,OFFSET(G250,-1,0)),IF(G$8&lt;$K250,IF(OFFSET(G250,-1,0)="","ERR",OFFSET(G250,-1,0)),""))</f>
        <v/>
      </c>
      <c r="H250" s="11">
        <f>IF($K250=H$8,1+IF(OFFSET(H250,-1,0)="",0,OFFSET(H250,-1,0)),IF(H$8&lt;$K250,IF(OFFSET(H250,-1,0)="","ERR",OFFSET(H250,-1,0)),""))</f>
        <v/>
      </c>
      <c r="I250" s="11">
        <f>IF($K250=I$8,1+IF(OFFSET(I250,-1,0)="",0,OFFSET(I250,-1,0)),IF(I$8&lt;$K250,IF(OFFSET(I250,-1,0)="","ERR",OFFSET(I250,-1,0)),""))</f>
        <v/>
      </c>
      <c r="J250" s="46">
        <f>_xlfn.TEXTJOIN(".",1,B250:I250)</f>
        <v/>
      </c>
      <c r="K250" s="46" t="inlineStr">
        <is>
          <t>Л7</t>
        </is>
      </c>
      <c r="L250" s="46" t="n"/>
      <c r="M250" s="47" t="inlineStr">
        <is>
          <t>Корпус с DIN-рейкой на 22 места, 19 дюймов, 3 юнита, PS-3U, Cabeus</t>
        </is>
      </c>
      <c r="N250" s="46" t="inlineStr">
        <is>
          <t>шт.</t>
        </is>
      </c>
      <c r="O250" s="94">
        <f>P250+Q250+S250+V250</f>
        <v/>
      </c>
      <c r="P250" s="46" t="n"/>
      <c r="Q250" s="46" t="n"/>
      <c r="R250" s="46" t="n"/>
      <c r="S250" s="46" t="n">
        <v>1</v>
      </c>
      <c r="T250" s="46" t="n">
        <v>1</v>
      </c>
      <c r="U250" s="46" t="n"/>
      <c r="V250" s="46" t="n"/>
      <c r="W250" s="46" t="n"/>
      <c r="X250" s="46" t="n"/>
      <c r="Y250" s="46" t="n"/>
      <c r="Z250" s="46" t="n"/>
      <c r="AA250" s="48" t="n"/>
      <c r="AB250" s="179" t="n"/>
      <c r="AC250" s="189" t="n"/>
      <c r="AD250" s="189">
        <f>SUM(AB250:AC250)</f>
        <v/>
      </c>
      <c r="AE250" s="189">
        <f>AB250*$O250</f>
        <v/>
      </c>
      <c r="AF250" s="189">
        <f>AC250*$O250</f>
        <v/>
      </c>
      <c r="AG250" s="189">
        <f>SUM(AE250:AF250)</f>
        <v/>
      </c>
      <c r="AH250" s="182" t="n"/>
    </row>
    <row r="251" outlineLevel="1">
      <c r="A251" s="18" t="inlineStr">
        <is>
          <t>О</t>
        </is>
      </c>
      <c r="B251" s="11">
        <f>IF($K251=B$8,1+IF(OFFSET(B251,-1,0)="",0,OFFSET(B251,-1,0)),IF(B$8&lt;$K251,IF(OFFSET(B251,-1,0)="","ERR",OFFSET(B251,-1,0)),""))</f>
        <v/>
      </c>
      <c r="C251" s="11">
        <f>IF($K251=C$8,1+IF(OFFSET(C251,-1,0)="",0,OFFSET(C251,-1,0)),IF(C$8&lt;$K251,IF(OFFSET(C251,-1,0)="","ERR",OFFSET(C251,-1,0)),""))</f>
        <v/>
      </c>
      <c r="D251" s="11">
        <f>IF($K251=D$8,1+IF(OFFSET(D251,-1,0)="",0,OFFSET(D251,-1,0)),IF(D$8&lt;$K251,IF(OFFSET(D251,-1,0)="","ERR",OFFSET(D251,-1,0)),""))</f>
        <v/>
      </c>
      <c r="E251" s="11">
        <f>IF($K251=E$8,1+IF(OFFSET(E251,-1,0)="",0,OFFSET(E251,-1,0)),IF(E$8&lt;$K251,IF(OFFSET(E251,-1,0)="","ERR",OFFSET(E251,-1,0)),""))</f>
        <v/>
      </c>
      <c r="F251" s="11">
        <f>IF($K251=F$8,1+IF(OFFSET(F251,-1,0)="",0,OFFSET(F251,-1,0)),IF(F$8&lt;$K251,IF(OFFSET(F251,-1,0)="","ERR",OFFSET(F251,-1,0)),""))</f>
        <v/>
      </c>
      <c r="G251" s="11">
        <f>IF($K251=G$8,1+IF(OFFSET(G251,-1,0)="",0,OFFSET(G251,-1,0)),IF(G$8&lt;$K251,IF(OFFSET(G251,-1,0)="","ERR",OFFSET(G251,-1,0)),""))</f>
        <v/>
      </c>
      <c r="H251" s="11">
        <f>IF($K251=H$8,1+IF(OFFSET(H251,-1,0)="",0,OFFSET(H251,-1,0)),IF(H$8&lt;$K251,IF(OFFSET(H251,-1,0)="","ERR",OFFSET(H251,-1,0)),""))</f>
        <v/>
      </c>
      <c r="I251" s="11">
        <f>IF($K251=I$8,1+IF(OFFSET(I251,-1,0)="",0,OFFSET(I251,-1,0)),IF(I$8&lt;$K251,IF(OFFSET(I251,-1,0)="","ERR",OFFSET(I251,-1,0)),""))</f>
        <v/>
      </c>
      <c r="J251" s="46">
        <f>_xlfn.TEXTJOIN(".",1,B251:I251)</f>
        <v/>
      </c>
      <c r="K251" s="46" t="inlineStr">
        <is>
          <t>Л7</t>
        </is>
      </c>
      <c r="L251" s="46" t="n"/>
      <c r="M251" s="47" t="inlineStr">
        <is>
          <t>Розетка РАр10-3-ОПс заземлением на DIN-рейку IEK, MRD10-16, IEK</t>
        </is>
      </c>
      <c r="N251" s="46" t="inlineStr">
        <is>
          <t>шт.</t>
        </is>
      </c>
      <c r="O251" s="94">
        <f>P251+Q251+S251+V251</f>
        <v/>
      </c>
      <c r="P251" s="46" t="n"/>
      <c r="Q251" s="46" t="n"/>
      <c r="R251" s="46" t="n"/>
      <c r="S251" s="46" t="n">
        <v>1</v>
      </c>
      <c r="T251" s="46" t="n">
        <v>1</v>
      </c>
      <c r="U251" s="46" t="n"/>
      <c r="V251" s="46" t="n"/>
      <c r="W251" s="46" t="n"/>
      <c r="X251" s="46" t="n"/>
      <c r="Y251" s="46" t="n"/>
      <c r="Z251" s="46" t="n"/>
      <c r="AA251" s="48" t="n"/>
      <c r="AB251" s="179" t="n"/>
      <c r="AC251" s="189" t="n"/>
      <c r="AD251" s="189">
        <f>SUM(AB251:AC251)</f>
        <v/>
      </c>
      <c r="AE251" s="189">
        <f>AB251*$O251</f>
        <v/>
      </c>
      <c r="AF251" s="189">
        <f>AC251*$O251</f>
        <v/>
      </c>
      <c r="AG251" s="189">
        <f>SUM(AE251:AF251)</f>
        <v/>
      </c>
      <c r="AH251" s="182" t="n"/>
    </row>
    <row r="252" outlineLevel="1" ht="45" customHeight="1">
      <c r="A252" s="18" t="inlineStr">
        <is>
          <t>О</t>
        </is>
      </c>
      <c r="B252" s="11">
        <f>IF($K252=B$8,1+IF(OFFSET(B252,-1,0)="",0,OFFSET(B252,-1,0)),IF(B$8&lt;$K252,IF(OFFSET(B252,-1,0)="","ERR",OFFSET(B252,-1,0)),""))</f>
        <v/>
      </c>
      <c r="C252" s="11">
        <f>IF($K252=C$8,1+IF(OFFSET(C252,-1,0)="",0,OFFSET(C252,-1,0)),IF(C$8&lt;$K252,IF(OFFSET(C252,-1,0)="","ERR",OFFSET(C252,-1,0)),""))</f>
        <v/>
      </c>
      <c r="D252" s="11">
        <f>IF($K252=D$8,1+IF(OFFSET(D252,-1,0)="",0,OFFSET(D252,-1,0)),IF(D$8&lt;$K252,IF(OFFSET(D252,-1,0)="","ERR",OFFSET(D252,-1,0)),""))</f>
        <v/>
      </c>
      <c r="E252" s="11">
        <f>IF($K252=E$8,1+IF(OFFSET(E252,-1,0)="",0,OFFSET(E252,-1,0)),IF(E$8&lt;$K252,IF(OFFSET(E252,-1,0)="","ERR",OFFSET(E252,-1,0)),""))</f>
        <v/>
      </c>
      <c r="F252" s="11">
        <f>IF($K252=F$8,1+IF(OFFSET(F252,-1,0)="",0,OFFSET(F252,-1,0)),IF(F$8&lt;$K252,IF(OFFSET(F252,-1,0)="","ERR",OFFSET(F252,-1,0)),""))</f>
        <v/>
      </c>
      <c r="G252" s="11">
        <f>IF($K252=G$8,1+IF(OFFSET(G252,-1,0)="",0,OFFSET(G252,-1,0)),IF(G$8&lt;$K252,IF(OFFSET(G252,-1,0)="","ERR",OFFSET(G252,-1,0)),""))</f>
        <v/>
      </c>
      <c r="H252" s="11">
        <f>IF($K252=H$8,1+IF(OFFSET(H252,-1,0)="",0,OFFSET(H252,-1,0)),IF(H$8&lt;$K252,IF(OFFSET(H252,-1,0)="","ERR",OFFSET(H252,-1,0)),""))</f>
        <v/>
      </c>
      <c r="I252" s="11">
        <f>IF($K252=I$8,1+IF(OFFSET(I252,-1,0)="",0,OFFSET(I252,-1,0)),IF(I$8&lt;$K252,IF(OFFSET(I252,-1,0)="","ERR",OFFSET(I252,-1,0)),""))</f>
        <v/>
      </c>
      <c r="J252" s="49">
        <f>_xlfn.TEXTJOIN(".",1,B252:I252)</f>
        <v/>
      </c>
      <c r="K252" s="49" t="inlineStr">
        <is>
          <t>Л7</t>
        </is>
      </c>
      <c r="L252" s="49" t="n"/>
      <c r="M252" s="63" t="inlineStr">
        <is>
          <t>Автоматический выключатель дифференциального тока, АВДТ-63М 1P+N 18мм 6А, EKF</t>
        </is>
      </c>
      <c r="N252" s="49" t="inlineStr">
        <is>
          <t>шт.</t>
        </is>
      </c>
      <c r="O252" s="50">
        <f>P252+Q252+S252+V252</f>
        <v/>
      </c>
      <c r="P252" s="49" t="n"/>
      <c r="Q252" s="49" t="n"/>
      <c r="R252" s="49" t="n"/>
      <c r="S252" s="49" t="n">
        <v>1</v>
      </c>
      <c r="T252" s="49" t="n">
        <v>1</v>
      </c>
      <c r="U252" s="49" t="n"/>
      <c r="V252" s="49" t="n"/>
      <c r="W252" s="50" t="n">
        <v>1</v>
      </c>
      <c r="X252" s="26" t="n">
        <v>7721403552</v>
      </c>
      <c r="Y252" s="26" t="n">
        <v>771501001</v>
      </c>
      <c r="Z252" s="26" t="inlineStr">
        <is>
          <t>ООО "Электрорешения"</t>
        </is>
      </c>
      <c r="AA252" s="51" t="inlineStr">
        <is>
          <t>ГТ</t>
        </is>
      </c>
      <c r="AB252" s="191" t="n"/>
      <c r="AC252" s="189" t="n"/>
      <c r="AD252" s="190">
        <f>SUM(AB252:AC252)</f>
        <v/>
      </c>
      <c r="AE252" s="190">
        <f>AB252*$O252*$W252</f>
        <v/>
      </c>
      <c r="AF252" s="190">
        <f>AC252*$O252*$W252</f>
        <v/>
      </c>
      <c r="AG252" s="190">
        <f>SUM(AE252:AF252)</f>
        <v/>
      </c>
      <c r="AH252" s="182" t="n"/>
    </row>
    <row r="253" outlineLevel="1">
      <c r="A253" s="18" t="inlineStr">
        <is>
          <t>О</t>
        </is>
      </c>
      <c r="B253" s="11">
        <f>IF($K253=B$8,1+IF(OFFSET(B253,-1,0)="",0,OFFSET(B253,-1,0)),IF(B$8&lt;$K253,IF(OFFSET(B253,-1,0)="","ERR",OFFSET(B253,-1,0)),""))</f>
        <v/>
      </c>
      <c r="C253" s="11">
        <f>IF($K253=C$8,1+IF(OFFSET(C253,-1,0)="",0,OFFSET(C253,-1,0)),IF(C$8&lt;$K253,IF(OFFSET(C253,-1,0)="","ERR",OFFSET(C253,-1,0)),""))</f>
        <v/>
      </c>
      <c r="D253" s="11">
        <f>IF($K253=D$8,1+IF(OFFSET(D253,-1,0)="",0,OFFSET(D253,-1,0)),IF(D$8&lt;$K253,IF(OFFSET(D253,-1,0)="","ERR",OFFSET(D253,-1,0)),""))</f>
        <v/>
      </c>
      <c r="E253" s="11">
        <f>IF($K253=E$8,1+IF(OFFSET(E253,-1,0)="",0,OFFSET(E253,-1,0)),IF(E$8&lt;$K253,IF(OFFSET(E253,-1,0)="","ERR",OFFSET(E253,-1,0)),""))</f>
        <v/>
      </c>
      <c r="F253" s="11">
        <f>IF($K253=F$8,1+IF(OFFSET(F253,-1,0)="",0,OFFSET(F253,-1,0)),IF(F$8&lt;$K253,IF(OFFSET(F253,-1,0)="","ERR",OFFSET(F253,-1,0)),""))</f>
        <v/>
      </c>
      <c r="G253" s="11">
        <f>IF($K253=G$8,1+IF(OFFSET(G253,-1,0)="",0,OFFSET(G253,-1,0)),IF(G$8&lt;$K253,IF(OFFSET(G253,-1,0)="","ERR",OFFSET(G253,-1,0)),""))</f>
        <v/>
      </c>
      <c r="H253" s="11">
        <f>IF($K253=H$8,1+IF(OFFSET(H253,-1,0)="",0,OFFSET(H253,-1,0)),IF(H$8&lt;$K253,IF(OFFSET(H253,-1,0)="","ERR",OFFSET(H253,-1,0)),""))</f>
        <v/>
      </c>
      <c r="I253" s="11">
        <f>IF($K253=I$8,1+IF(OFFSET(I253,-1,0)="",0,OFFSET(I253,-1,0)),IF(I$8&lt;$K253,IF(OFFSET(I253,-1,0)="","ERR",OFFSET(I253,-1,0)),""))</f>
        <v/>
      </c>
      <c r="J253" s="46">
        <f>_xlfn.TEXTJOIN(".",1,B253:I253)</f>
        <v/>
      </c>
      <c r="K253" s="46" t="inlineStr">
        <is>
          <t>Л7</t>
        </is>
      </c>
      <c r="L253" s="46" t="n"/>
      <c r="M253" s="47" t="inlineStr">
        <is>
          <t>Адаптер PDU сечением 3х1,5 10см с разъёмами C14 и Schuko, PC-C14D-10CM, ITK</t>
        </is>
      </c>
      <c r="N253" s="46" t="inlineStr">
        <is>
          <t>шт.</t>
        </is>
      </c>
      <c r="O253" s="94">
        <f>P253+Q253+S253+V253</f>
        <v/>
      </c>
      <c r="P253" s="46" t="n"/>
      <c r="Q253" s="46" t="n"/>
      <c r="R253" s="46" t="n"/>
      <c r="S253" s="46" t="n">
        <v>1</v>
      </c>
      <c r="T253" s="46" t="n">
        <v>1</v>
      </c>
      <c r="U253" s="46" t="n"/>
      <c r="V253" s="46" t="n"/>
      <c r="W253" s="46" t="n"/>
      <c r="X253" s="46" t="n"/>
      <c r="Y253" s="46" t="n"/>
      <c r="Z253" s="46" t="n"/>
      <c r="AA253" s="48" t="n"/>
      <c r="AB253" s="179" t="n"/>
      <c r="AC253" s="189" t="n"/>
      <c r="AD253" s="189">
        <f>SUM(AB253:AC253)</f>
        <v/>
      </c>
      <c r="AE253" s="189">
        <f>AB253*$O253</f>
        <v/>
      </c>
      <c r="AF253" s="189">
        <f>AC253*$O253</f>
        <v/>
      </c>
      <c r="AG253" s="189">
        <f>SUM(AE253:AF253)</f>
        <v/>
      </c>
      <c r="AH253" s="182" t="n"/>
    </row>
    <row r="254" outlineLevel="1">
      <c r="A254" s="18" t="inlineStr">
        <is>
          <t>О</t>
        </is>
      </c>
      <c r="B254" s="11">
        <f>IF($K254=B$8,1+IF(OFFSET(B254,-1,0)="",0,OFFSET(B254,-1,0)),IF(B$8&lt;$K254,IF(OFFSET(B254,-1,0)="","ERR",OFFSET(B254,-1,0)),""))</f>
        <v/>
      </c>
      <c r="C254" s="11">
        <f>IF($K254=C$8,1+IF(OFFSET(C254,-1,0)="",0,OFFSET(C254,-1,0)),IF(C$8&lt;$K254,IF(OFFSET(C254,-1,0)="","ERR",OFFSET(C254,-1,0)),""))</f>
        <v/>
      </c>
      <c r="D254" s="11">
        <f>IF($K254=D$8,1+IF(OFFSET(D254,-1,0)="",0,OFFSET(D254,-1,0)),IF(D$8&lt;$K254,IF(OFFSET(D254,-1,0)="","ERR",OFFSET(D254,-1,0)),""))</f>
        <v/>
      </c>
      <c r="E254" s="11">
        <f>IF($K254=E$8,1+IF(OFFSET(E254,-1,0)="",0,OFFSET(E254,-1,0)),IF(E$8&lt;$K254,IF(OFFSET(E254,-1,0)="","ERR",OFFSET(E254,-1,0)),""))</f>
        <v/>
      </c>
      <c r="F254" s="11">
        <f>IF($K254=F$8,1+IF(OFFSET(F254,-1,0)="",0,OFFSET(F254,-1,0)),IF(F$8&lt;$K254,IF(OFFSET(F254,-1,0)="","ERR",OFFSET(F254,-1,0)),""))</f>
        <v/>
      </c>
      <c r="G254" s="11">
        <f>IF($K254=G$8,1+IF(OFFSET(G254,-1,0)="",0,OFFSET(G254,-1,0)),IF(G$8&lt;$K254,IF(OFFSET(G254,-1,0)="","ERR",OFFSET(G254,-1,0)),""))</f>
        <v/>
      </c>
      <c r="H254" s="11">
        <f>IF($K254=H$8,1+IF(OFFSET(H254,-1,0)="",0,OFFSET(H254,-1,0)),IF(H$8&lt;$K254,IF(OFFSET(H254,-1,0)="","ERR",OFFSET(H254,-1,0)),""))</f>
        <v/>
      </c>
      <c r="I254" s="11">
        <f>IF($K254=I$8,1+IF(OFFSET(I254,-1,0)="",0,OFFSET(I254,-1,0)),IF(I$8&lt;$K254,IF(OFFSET(I254,-1,0)="","ERR",OFFSET(I254,-1,0)),""))</f>
        <v/>
      </c>
      <c r="J254" s="46">
        <f>_xlfn.TEXTJOIN(".",1,B254:I254)</f>
        <v/>
      </c>
      <c r="K254" s="46" t="inlineStr">
        <is>
          <t>Л7</t>
        </is>
      </c>
      <c r="L254" s="46" t="n"/>
      <c r="M254" s="47" t="inlineStr">
        <is>
          <t>Вентиляторный модуль для шкафов 19" 1U, Cabeus JG02-BK 2, Cabeus</t>
        </is>
      </c>
      <c r="N254" s="46" t="inlineStr">
        <is>
          <t>шт.</t>
        </is>
      </c>
      <c r="O254" s="94">
        <f>P254+Q254+S254+V254</f>
        <v/>
      </c>
      <c r="P254" s="46" t="n"/>
      <c r="Q254" s="46" t="n"/>
      <c r="R254" s="46" t="n"/>
      <c r="S254" s="46" t="n">
        <v>1</v>
      </c>
      <c r="T254" s="46" t="n">
        <v>1</v>
      </c>
      <c r="U254" s="46" t="n"/>
      <c r="V254" s="46" t="n"/>
      <c r="W254" s="46" t="n"/>
      <c r="X254" s="46" t="n"/>
      <c r="Y254" s="46" t="n"/>
      <c r="Z254" s="46" t="n"/>
      <c r="AA254" s="48" t="n"/>
      <c r="AB254" s="179" t="n"/>
      <c r="AC254" s="189" t="n"/>
      <c r="AD254" s="189">
        <f>SUM(AB254:AC254)</f>
        <v/>
      </c>
      <c r="AE254" s="189">
        <f>AB254*$O254</f>
        <v/>
      </c>
      <c r="AF254" s="189">
        <f>AC254*$O254</f>
        <v/>
      </c>
      <c r="AG254" s="189">
        <f>SUM(AE254:AF254)</f>
        <v/>
      </c>
      <c r="AH254" s="182" t="n"/>
    </row>
    <row r="255" outlineLevel="1">
      <c r="A255" s="18" t="inlineStr">
        <is>
          <t>О</t>
        </is>
      </c>
      <c r="B255" s="11">
        <f>IF($K255=B$8,1+IF(OFFSET(B255,-1,0)="",0,OFFSET(B255,-1,0)),IF(B$8&lt;$K255,IF(OFFSET(B255,-1,0)="","ERR",OFFSET(B255,-1,0)),""))</f>
        <v/>
      </c>
      <c r="C255" s="11">
        <f>IF($K255=C$8,1+IF(OFFSET(C255,-1,0)="",0,OFFSET(C255,-1,0)),IF(C$8&lt;$K255,IF(OFFSET(C255,-1,0)="","ERR",OFFSET(C255,-1,0)),""))</f>
        <v/>
      </c>
      <c r="D255" s="11">
        <f>IF($K255=D$8,1+IF(OFFSET(D255,-1,0)="",0,OFFSET(D255,-1,0)),IF(D$8&lt;$K255,IF(OFFSET(D255,-1,0)="","ERR",OFFSET(D255,-1,0)),""))</f>
        <v/>
      </c>
      <c r="E255" s="11">
        <f>IF($K255=E$8,1+IF(OFFSET(E255,-1,0)="",0,OFFSET(E255,-1,0)),IF(E$8&lt;$K255,IF(OFFSET(E255,-1,0)="","ERR",OFFSET(E255,-1,0)),""))</f>
        <v/>
      </c>
      <c r="F255" s="11">
        <f>IF($K255=F$8,1+IF(OFFSET(F255,-1,0)="",0,OFFSET(F255,-1,0)),IF(F$8&lt;$K255,IF(OFFSET(F255,-1,0)="","ERR",OFFSET(F255,-1,0)),""))</f>
        <v/>
      </c>
      <c r="G255" s="11">
        <f>IF($K255=G$8,1+IF(OFFSET(G255,-1,0)="",0,OFFSET(G255,-1,0)),IF(G$8&lt;$K255,IF(OFFSET(G255,-1,0)="","ERR",OFFSET(G255,-1,0)),""))</f>
        <v/>
      </c>
      <c r="H255" s="11">
        <f>IF($K255=H$8,1+IF(OFFSET(H255,-1,0)="",0,OFFSET(H255,-1,0)),IF(H$8&lt;$K255,IF(OFFSET(H255,-1,0)="","ERR",OFFSET(H255,-1,0)),""))</f>
        <v/>
      </c>
      <c r="I255" s="11">
        <f>IF($K255=I$8,1+IF(OFFSET(I255,-1,0)="",0,OFFSET(I255,-1,0)),IF(I$8&lt;$K255,IF(OFFSET(I255,-1,0)="","ERR",OFFSET(I255,-1,0)),""))</f>
        <v/>
      </c>
      <c r="J255" s="46">
        <f>_xlfn.TEXTJOIN(".",1,B255:I255)</f>
        <v/>
      </c>
      <c r="K255" s="46" t="inlineStr">
        <is>
          <t>Л7</t>
        </is>
      </c>
      <c r="L255" s="46" t="n"/>
      <c r="M255" s="64" t="inlineStr">
        <is>
          <t>Сопутствующие и прочие материалы*</t>
        </is>
      </c>
      <c r="N255" s="46" t="inlineStr">
        <is>
          <t>компл</t>
        </is>
      </c>
      <c r="O255" s="94">
        <f>P255+Q255+S255+V255</f>
        <v/>
      </c>
      <c r="P255" s="46" t="n"/>
      <c r="Q255" s="46" t="n"/>
      <c r="R255" s="46" t="n"/>
      <c r="S255" s="46" t="n">
        <v>1</v>
      </c>
      <c r="T255" s="46" t="n">
        <v>1</v>
      </c>
      <c r="U255" s="46" t="n"/>
      <c r="V255" s="46" t="n"/>
      <c r="W255" s="46" t="n"/>
      <c r="X255" s="46" t="n"/>
      <c r="Y255" s="46" t="n"/>
      <c r="Z255" s="46" t="n"/>
      <c r="AA255" s="48" t="n"/>
      <c r="AB255" s="179" t="n"/>
      <c r="AC255" s="189" t="n"/>
      <c r="AD255" s="189">
        <f>SUM(AB255:AC255)</f>
        <v/>
      </c>
      <c r="AE255" s="189">
        <f>AB255*$O255</f>
        <v/>
      </c>
      <c r="AF255" s="189">
        <f>AC255*$O255</f>
        <v/>
      </c>
      <c r="AG255" s="189">
        <f>SUM(AE255:AF255)</f>
        <v/>
      </c>
      <c r="AH255" s="182" t="n"/>
    </row>
    <row r="256" outlineLevel="1">
      <c r="A256" s="18" t="inlineStr">
        <is>
          <t>О</t>
        </is>
      </c>
      <c r="B256" s="11">
        <f>IF($K256=B$8,1+IF(OFFSET(B256,-1,0)="",0,OFFSET(B256,-1,0)),IF(B$8&lt;$K256,IF(OFFSET(B256,-1,0)="","ERR",OFFSET(B256,-1,0)),""))</f>
        <v/>
      </c>
      <c r="C256" s="11">
        <f>IF($K256=C$8,1+IF(OFFSET(C256,-1,0)="",0,OFFSET(C256,-1,0)),IF(C$8&lt;$K256,IF(OFFSET(C256,-1,0)="","ERR",OFFSET(C256,-1,0)),""))</f>
        <v/>
      </c>
      <c r="D256" s="11">
        <f>IF($K256=D$8,1+IF(OFFSET(D256,-1,0)="",0,OFFSET(D256,-1,0)),IF(D$8&lt;$K256,IF(OFFSET(D256,-1,0)="","ERR",OFFSET(D256,-1,0)),""))</f>
        <v/>
      </c>
      <c r="E256" s="11">
        <f>IF($K256=E$8,1+IF(OFFSET(E256,-1,0)="",0,OFFSET(E256,-1,0)),IF(E$8&lt;$K256,IF(OFFSET(E256,-1,0)="","ERR",OFFSET(E256,-1,0)),""))</f>
        <v/>
      </c>
      <c r="F256" s="11">
        <f>IF($K256=F$8,1+IF(OFFSET(F256,-1,0)="",0,OFFSET(F256,-1,0)),IF(F$8&lt;$K256,IF(OFFSET(F256,-1,0)="","ERR",OFFSET(F256,-1,0)),""))</f>
        <v/>
      </c>
      <c r="G256" s="11">
        <f>IF($K256=G$8,1+IF(OFFSET(G256,-1,0)="",0,OFFSET(G256,-1,0)),IF(G$8&lt;$K256,IF(OFFSET(G256,-1,0)="","ERR",OFFSET(G256,-1,0)),""))</f>
        <v/>
      </c>
      <c r="H256" s="11">
        <f>IF($K256=H$8,1+IF(OFFSET(H256,-1,0)="",0,OFFSET(H256,-1,0)),IF(H$8&lt;$K256,IF(OFFSET(H256,-1,0)="","ERR",OFFSET(H256,-1,0)),""))</f>
        <v/>
      </c>
      <c r="I256" s="11">
        <f>IF($K256=I$8,1+IF(OFFSET(I256,-1,0)="",0,OFFSET(I256,-1,0)),IF(I$8&lt;$K256,IF(OFFSET(I256,-1,0)="","ERR",OFFSET(I256,-1,0)),""))</f>
        <v/>
      </c>
      <c r="J256" s="46">
        <f>_xlfn.TEXTJOIN(".",1,B256:I256)</f>
        <v/>
      </c>
      <c r="K256" s="46" t="inlineStr">
        <is>
          <t>Л6</t>
        </is>
      </c>
      <c r="L256" s="46" t="inlineStr">
        <is>
          <t>3.3.3.10.1.2</t>
        </is>
      </c>
      <c r="M256" s="47" t="inlineStr">
        <is>
          <t>Монтаж телекоммуникационного шкафа/стойка (ТШ) навесного комплектного</t>
        </is>
      </c>
      <c r="N256" s="46" t="inlineStr">
        <is>
          <t>компл</t>
        </is>
      </c>
      <c r="O256" s="94">
        <f>P256+Q256+S256+V256</f>
        <v/>
      </c>
      <c r="P256" s="46" t="n"/>
      <c r="Q256" s="46" t="n"/>
      <c r="R256" s="46" t="n"/>
      <c r="S256" s="46" t="n"/>
      <c r="T256" s="46" t="n"/>
      <c r="U256" s="46" t="n">
        <v>1</v>
      </c>
      <c r="V256" s="46" t="n">
        <v>1</v>
      </c>
      <c r="W256" s="46" t="n"/>
      <c r="X256" s="46" t="n"/>
      <c r="Y256" s="46" t="n"/>
      <c r="Z256" s="46" t="n"/>
      <c r="AA256" s="48" t="inlineStr">
        <is>
          <t>Шкаф ТШ ГОЧС-6.1</t>
        </is>
      </c>
      <c r="AB256" s="187" t="n"/>
      <c r="AC256" s="180" t="n">
        <v>31000</v>
      </c>
      <c r="AD256" s="189">
        <f>SUM(AB256:AC256)</f>
        <v/>
      </c>
      <c r="AE256" s="189">
        <f>AB256*$O256</f>
        <v/>
      </c>
      <c r="AF256" s="189">
        <f>AC256*$O256</f>
        <v/>
      </c>
      <c r="AG256" s="189">
        <f>SUM(AE256:AF256)</f>
        <v/>
      </c>
      <c r="AH256" s="182" t="n"/>
    </row>
    <row r="257" outlineLevel="1" ht="25.5" customHeight="1">
      <c r="A257" s="18" t="inlineStr">
        <is>
          <t>О</t>
        </is>
      </c>
      <c r="B257" s="11">
        <f>IF($K257=B$8,1+IF(OFFSET(B257,-1,0)="",0,OFFSET(B257,-1,0)),IF(B$8&lt;$K257,IF(OFFSET(B257,-1,0)="","ERR",OFFSET(B257,-1,0)),""))</f>
        <v/>
      </c>
      <c r="C257" s="11">
        <f>IF($K257=C$8,1+IF(OFFSET(C257,-1,0)="",0,OFFSET(C257,-1,0)),IF(C$8&lt;$K257,IF(OFFSET(C257,-1,0)="","ERR",OFFSET(C257,-1,0)),""))</f>
        <v/>
      </c>
      <c r="D257" s="11">
        <f>IF($K257=D$8,1+IF(OFFSET(D257,-1,0)="",0,OFFSET(D257,-1,0)),IF(D$8&lt;$K257,IF(OFFSET(D257,-1,0)="","ERR",OFFSET(D257,-1,0)),""))</f>
        <v/>
      </c>
      <c r="E257" s="11">
        <f>IF($K257=E$8,1+IF(OFFSET(E257,-1,0)="",0,OFFSET(E257,-1,0)),IF(E$8&lt;$K257,IF(OFFSET(E257,-1,0)="","ERR",OFFSET(E257,-1,0)),""))</f>
        <v/>
      </c>
      <c r="F257" s="11">
        <f>IF($K257=F$8,1+IF(OFFSET(F257,-1,0)="",0,OFFSET(F257,-1,0)),IF(F$8&lt;$K257,IF(OFFSET(F257,-1,0)="","ERR",OFFSET(F257,-1,0)),""))</f>
        <v/>
      </c>
      <c r="G257" s="11">
        <f>IF($K257=G$8,1+IF(OFFSET(G257,-1,0)="",0,OFFSET(G257,-1,0)),IF(G$8&lt;$K257,IF(OFFSET(G257,-1,0)="","ERR",OFFSET(G257,-1,0)),""))</f>
        <v/>
      </c>
      <c r="H257" s="11">
        <f>IF($K257=H$8,1+IF(OFFSET(H257,-1,0)="",0,OFFSET(H257,-1,0)),IF(H$8&lt;$K257,IF(OFFSET(H257,-1,0)="","ERR",OFFSET(H257,-1,0)),""))</f>
        <v/>
      </c>
      <c r="I257" s="11">
        <f>IF($K257=I$8,1+IF(OFFSET(I257,-1,0)="",0,OFFSET(I257,-1,0)),IF(I$8&lt;$K257,IF(OFFSET(I257,-1,0)="","ERR",OFFSET(I257,-1,0)),""))</f>
        <v/>
      </c>
      <c r="J257" s="46">
        <f>_xlfn.TEXTJOIN(".",1,B257:I257)</f>
        <v/>
      </c>
      <c r="K257" s="46" t="inlineStr">
        <is>
          <t>Л7</t>
        </is>
      </c>
      <c r="L257" s="46" t="n"/>
      <c r="M257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57" s="46" t="inlineStr">
        <is>
          <t>шт.</t>
        </is>
      </c>
      <c r="O257" s="94">
        <f>P257+Q257+S257+V257</f>
        <v/>
      </c>
      <c r="P257" s="46" t="n"/>
      <c r="Q257" s="46" t="n"/>
      <c r="R257" s="46" t="n"/>
      <c r="S257" s="46" t="n"/>
      <c r="T257" s="46" t="n"/>
      <c r="U257" s="46" t="n">
        <v>1</v>
      </c>
      <c r="V257" s="46" t="n">
        <v>1</v>
      </c>
      <c r="W257" s="46" t="n"/>
      <c r="X257" s="46" t="n"/>
      <c r="Y257" s="46" t="n"/>
      <c r="Z257" s="46" t="n"/>
      <c r="AA257" s="48" t="n"/>
      <c r="AB257" s="179" t="n"/>
      <c r="AC257" s="189" t="n"/>
      <c r="AD257" s="189">
        <f>SUM(AB257:AC257)</f>
        <v/>
      </c>
      <c r="AE257" s="189">
        <f>AB257*$O257</f>
        <v/>
      </c>
      <c r="AF257" s="189">
        <f>AC257*$O257</f>
        <v/>
      </c>
      <c r="AG257" s="189">
        <f>SUM(AE257:AF257)</f>
        <v/>
      </c>
      <c r="AH257" s="182" t="n"/>
    </row>
    <row r="258" outlineLevel="1">
      <c r="A258" s="18" t="inlineStr">
        <is>
          <t>О</t>
        </is>
      </c>
      <c r="B258" s="11">
        <f>IF($K258=B$8,1+IF(OFFSET(B258,-1,0)="",0,OFFSET(B258,-1,0)),IF(B$8&lt;$K258,IF(OFFSET(B258,-1,0)="","ERR",OFFSET(B258,-1,0)),""))</f>
        <v/>
      </c>
      <c r="C258" s="11">
        <f>IF($K258=C$8,1+IF(OFFSET(C258,-1,0)="",0,OFFSET(C258,-1,0)),IF(C$8&lt;$K258,IF(OFFSET(C258,-1,0)="","ERR",OFFSET(C258,-1,0)),""))</f>
        <v/>
      </c>
      <c r="D258" s="11">
        <f>IF($K258=D$8,1+IF(OFFSET(D258,-1,0)="",0,OFFSET(D258,-1,0)),IF(D$8&lt;$K258,IF(OFFSET(D258,-1,0)="","ERR",OFFSET(D258,-1,0)),""))</f>
        <v/>
      </c>
      <c r="E258" s="11">
        <f>IF($K258=E$8,1+IF(OFFSET(E258,-1,0)="",0,OFFSET(E258,-1,0)),IF(E$8&lt;$K258,IF(OFFSET(E258,-1,0)="","ERR",OFFSET(E258,-1,0)),""))</f>
        <v/>
      </c>
      <c r="F258" s="11">
        <f>IF($K258=F$8,1+IF(OFFSET(F258,-1,0)="",0,OFFSET(F258,-1,0)),IF(F$8&lt;$K258,IF(OFFSET(F258,-1,0)="","ERR",OFFSET(F258,-1,0)),""))</f>
        <v/>
      </c>
      <c r="G258" s="11">
        <f>IF($K258=G$8,1+IF(OFFSET(G258,-1,0)="",0,OFFSET(G258,-1,0)),IF(G$8&lt;$K258,IF(OFFSET(G258,-1,0)="","ERR",OFFSET(G258,-1,0)),""))</f>
        <v/>
      </c>
      <c r="H258" s="11">
        <f>IF($K258=H$8,1+IF(OFFSET(H258,-1,0)="",0,OFFSET(H258,-1,0)),IF(H$8&lt;$K258,IF(OFFSET(H258,-1,0)="","ERR",OFFSET(H258,-1,0)),""))</f>
        <v/>
      </c>
      <c r="I258" s="11">
        <f>IF($K258=I$8,1+IF(OFFSET(I258,-1,0)="",0,OFFSET(I258,-1,0)),IF(I$8&lt;$K258,IF(OFFSET(I258,-1,0)="","ERR",OFFSET(I258,-1,0)),""))</f>
        <v/>
      </c>
      <c r="J258" s="46">
        <f>_xlfn.TEXTJOIN(".",1,B258:I258)</f>
        <v/>
      </c>
      <c r="K258" s="46" t="inlineStr">
        <is>
          <t>Л7</t>
        </is>
      </c>
      <c r="L258" s="46" t="n"/>
      <c r="M258" s="47" t="inlineStr">
        <is>
          <t>Перфорированная полка глубиной 400 мм, 8620c, Cabeus</t>
        </is>
      </c>
      <c r="N258" s="46" t="inlineStr">
        <is>
          <t>шт.</t>
        </is>
      </c>
      <c r="O258" s="94">
        <f>P258+Q258+S258+V258</f>
        <v/>
      </c>
      <c r="P258" s="46" t="n"/>
      <c r="Q258" s="46" t="n"/>
      <c r="R258" s="46" t="n"/>
      <c r="S258" s="46" t="n"/>
      <c r="T258" s="46" t="n"/>
      <c r="U258" s="46" t="n">
        <v>1</v>
      </c>
      <c r="V258" s="46" t="n">
        <v>1</v>
      </c>
      <c r="W258" s="46" t="n"/>
      <c r="X258" s="46" t="n"/>
      <c r="Y258" s="46" t="n"/>
      <c r="Z258" s="46" t="n"/>
      <c r="AA258" s="48" t="n"/>
      <c r="AB258" s="179" t="n"/>
      <c r="AC258" s="189" t="n"/>
      <c r="AD258" s="189">
        <f>SUM(AB258:AC258)</f>
        <v/>
      </c>
      <c r="AE258" s="189">
        <f>AB258*$O258</f>
        <v/>
      </c>
      <c r="AF258" s="189">
        <f>AC258*$O258</f>
        <v/>
      </c>
      <c r="AG258" s="189">
        <f>SUM(AE258:AF258)</f>
        <v/>
      </c>
      <c r="AH258" s="182" t="n"/>
    </row>
    <row r="259" outlineLevel="1" ht="18.75" customHeight="1">
      <c r="A259" s="18" t="inlineStr">
        <is>
          <t>О</t>
        </is>
      </c>
      <c r="B259" s="11">
        <f>IF($K259=B$8,1+IF(OFFSET(B259,-1,0)="",0,OFFSET(B259,-1,0)),IF(B$8&lt;$K259,IF(OFFSET(B259,-1,0)="","ERR",OFFSET(B259,-1,0)),""))</f>
        <v/>
      </c>
      <c r="C259" s="11">
        <f>IF($K259=C$8,1+IF(OFFSET(C259,-1,0)="",0,OFFSET(C259,-1,0)),IF(C$8&lt;$K259,IF(OFFSET(C259,-1,0)="","ERR",OFFSET(C259,-1,0)),""))</f>
        <v/>
      </c>
      <c r="D259" s="11">
        <f>IF($K259=D$8,1+IF(OFFSET(D259,-1,0)="",0,OFFSET(D259,-1,0)),IF(D$8&lt;$K259,IF(OFFSET(D259,-1,0)="","ERR",OFFSET(D259,-1,0)),""))</f>
        <v/>
      </c>
      <c r="E259" s="11">
        <f>IF($K259=E$8,1+IF(OFFSET(E259,-1,0)="",0,OFFSET(E259,-1,0)),IF(E$8&lt;$K259,IF(OFFSET(E259,-1,0)="","ERR",OFFSET(E259,-1,0)),""))</f>
        <v/>
      </c>
      <c r="F259" s="11">
        <f>IF($K259=F$8,1+IF(OFFSET(F259,-1,0)="",0,OFFSET(F259,-1,0)),IF(F$8&lt;$K259,IF(OFFSET(F259,-1,0)="","ERR",OFFSET(F259,-1,0)),""))</f>
        <v/>
      </c>
      <c r="G259" s="11">
        <f>IF($K259=G$8,1+IF(OFFSET(G259,-1,0)="",0,OFFSET(G259,-1,0)),IF(G$8&lt;$K259,IF(OFFSET(G259,-1,0)="","ERR",OFFSET(G259,-1,0)),""))</f>
        <v/>
      </c>
      <c r="H259" s="11">
        <f>IF($K259=H$8,1+IF(OFFSET(H259,-1,0)="",0,OFFSET(H259,-1,0)),IF(H$8&lt;$K259,IF(OFFSET(H259,-1,0)="","ERR",OFFSET(H259,-1,0)),""))</f>
        <v/>
      </c>
      <c r="I259" s="11">
        <f>IF($K259=I$8,1+IF(OFFSET(I259,-1,0)="",0,OFFSET(I259,-1,0)),IF(I$8&lt;$K259,IF(OFFSET(I259,-1,0)="","ERR",OFFSET(I259,-1,0)),""))</f>
        <v/>
      </c>
      <c r="J259" s="49">
        <f>_xlfn.TEXTJOIN(".",1,B259:I259)</f>
        <v/>
      </c>
      <c r="K259" s="49" t="inlineStr">
        <is>
          <t>Л7</t>
        </is>
      </c>
      <c r="L259" s="49" t="n"/>
      <c r="M259" s="63" t="inlineStr">
        <is>
          <t>Модуль ввода-вывода, LPA-2401NBS, LPA</t>
        </is>
      </c>
      <c r="N259" s="49" t="inlineStr">
        <is>
          <t>шт.</t>
        </is>
      </c>
      <c r="O259" s="50">
        <f>P259+Q259+S259+V259</f>
        <v/>
      </c>
      <c r="P259" s="49" t="n"/>
      <c r="Q259" s="49" t="n"/>
      <c r="R259" s="49" t="n"/>
      <c r="S259" s="49" t="n"/>
      <c r="T259" s="49" t="n"/>
      <c r="U259" s="49" t="n">
        <v>1</v>
      </c>
      <c r="V259" s="49" t="n">
        <v>1</v>
      </c>
      <c r="W259" s="50" t="n">
        <v>1</v>
      </c>
      <c r="X259" s="26" t="n">
        <v>5040070405</v>
      </c>
      <c r="Y259" s="26" t="n">
        <v>772201001</v>
      </c>
      <c r="Z259" s="26" t="inlineStr">
        <is>
          <t>ООО "ЛУИС+"</t>
        </is>
      </c>
      <c r="AA259" s="51" t="inlineStr">
        <is>
          <t>ГТ</t>
        </is>
      </c>
      <c r="AB259" s="188" t="n"/>
      <c r="AC259" s="189" t="n"/>
      <c r="AD259" s="190">
        <f>SUM(AB259:AC259)</f>
        <v/>
      </c>
      <c r="AE259" s="190">
        <f>AB259*$O259*$W259</f>
        <v/>
      </c>
      <c r="AF259" s="190">
        <f>AC259*$O259*$W259</f>
        <v/>
      </c>
      <c r="AG259" s="190">
        <f>SUM(AE259:AF259)</f>
        <v/>
      </c>
      <c r="AH259" s="182" t="n"/>
    </row>
    <row r="260" outlineLevel="1">
      <c r="A260" s="18" t="inlineStr">
        <is>
          <t>О</t>
        </is>
      </c>
      <c r="B260" s="11">
        <f>IF($K260=B$8,1+IF(OFFSET(B260,-1,0)="",0,OFFSET(B260,-1,0)),IF(B$8&lt;$K260,IF(OFFSET(B260,-1,0)="","ERR",OFFSET(B260,-1,0)),""))</f>
        <v/>
      </c>
      <c r="C260" s="11">
        <f>IF($K260=C$8,1+IF(OFFSET(C260,-1,0)="",0,OFFSET(C260,-1,0)),IF(C$8&lt;$K260,IF(OFFSET(C260,-1,0)="","ERR",OFFSET(C260,-1,0)),""))</f>
        <v/>
      </c>
      <c r="D260" s="11">
        <f>IF($K260=D$8,1+IF(OFFSET(D260,-1,0)="",0,OFFSET(D260,-1,0)),IF(D$8&lt;$K260,IF(OFFSET(D260,-1,0)="","ERR",OFFSET(D260,-1,0)),""))</f>
        <v/>
      </c>
      <c r="E260" s="11">
        <f>IF($K260=E$8,1+IF(OFFSET(E260,-1,0)="",0,OFFSET(E260,-1,0)),IF(E$8&lt;$K260,IF(OFFSET(E260,-1,0)="","ERR",OFFSET(E260,-1,0)),""))</f>
        <v/>
      </c>
      <c r="F260" s="11">
        <f>IF($K260=F$8,1+IF(OFFSET(F260,-1,0)="",0,OFFSET(F260,-1,0)),IF(F$8&lt;$K260,IF(OFFSET(F260,-1,0)="","ERR",OFFSET(F260,-1,0)),""))</f>
        <v/>
      </c>
      <c r="G260" s="11">
        <f>IF($K260=G$8,1+IF(OFFSET(G260,-1,0)="",0,OFFSET(G260,-1,0)),IF(G$8&lt;$K260,IF(OFFSET(G260,-1,0)="","ERR",OFFSET(G260,-1,0)),""))</f>
        <v/>
      </c>
      <c r="H260" s="11">
        <f>IF($K260=H$8,1+IF(OFFSET(H260,-1,0)="",0,OFFSET(H260,-1,0)),IF(H$8&lt;$K260,IF(OFFSET(H260,-1,0)="","ERR",OFFSET(H260,-1,0)),""))</f>
        <v/>
      </c>
      <c r="I260" s="11">
        <f>IF($K260=I$8,1+IF(OFFSET(I260,-1,0)="",0,OFFSET(I260,-1,0)),IF(I$8&lt;$K260,IF(OFFSET(I260,-1,0)="","ERR",OFFSET(I260,-1,0)),""))</f>
        <v/>
      </c>
      <c r="J260" s="46">
        <f>_xlfn.TEXTJOIN(".",1,B260:I260)</f>
        <v/>
      </c>
      <c r="K260" s="46" t="inlineStr">
        <is>
          <t>Л7</t>
        </is>
      </c>
      <c r="L260" s="46" t="n"/>
      <c r="M260" s="47" t="inlineStr">
        <is>
          <t>Блок распределения сигналов, БРС-ЮПТП, ЮПТП</t>
        </is>
      </c>
      <c r="N260" s="46" t="inlineStr">
        <is>
          <t>шт.</t>
        </is>
      </c>
      <c r="O260" s="94">
        <f>P260+Q260+S260+V260</f>
        <v/>
      </c>
      <c r="P260" s="46" t="n"/>
      <c r="Q260" s="46" t="n"/>
      <c r="R260" s="46" t="n"/>
      <c r="S260" s="46" t="n"/>
      <c r="T260" s="46" t="n"/>
      <c r="U260" s="46" t="n">
        <v>2</v>
      </c>
      <c r="V260" s="46" t="n">
        <v>2</v>
      </c>
      <c r="W260" s="46" t="n"/>
      <c r="X260" s="46" t="n"/>
      <c r="Y260" s="46" t="n"/>
      <c r="Z260" s="46" t="n"/>
      <c r="AA260" s="48" t="n"/>
      <c r="AB260" s="179" t="n"/>
      <c r="AC260" s="189" t="n"/>
      <c r="AD260" s="189">
        <f>SUM(AB260:AC260)</f>
        <v/>
      </c>
      <c r="AE260" s="189">
        <f>AB260*$O260</f>
        <v/>
      </c>
      <c r="AF260" s="189">
        <f>AC260*$O260</f>
        <v/>
      </c>
      <c r="AG260" s="189">
        <f>SUM(AE260:AF260)</f>
        <v/>
      </c>
      <c r="AH260" s="182" t="n"/>
    </row>
    <row r="261" outlineLevel="1">
      <c r="A261" s="18" t="inlineStr">
        <is>
          <t>О</t>
        </is>
      </c>
      <c r="B261" s="11">
        <f>IF($K261=B$8,1+IF(OFFSET(B261,-1,0)="",0,OFFSET(B261,-1,0)),IF(B$8&lt;$K261,IF(OFFSET(B261,-1,0)="","ERR",OFFSET(B261,-1,0)),""))</f>
        <v/>
      </c>
      <c r="C261" s="11">
        <f>IF($K261=C$8,1+IF(OFFSET(C261,-1,0)="",0,OFFSET(C261,-1,0)),IF(C$8&lt;$K261,IF(OFFSET(C261,-1,0)="","ERR",OFFSET(C261,-1,0)),""))</f>
        <v/>
      </c>
      <c r="D261" s="11">
        <f>IF($K261=D$8,1+IF(OFFSET(D261,-1,0)="",0,OFFSET(D261,-1,0)),IF(D$8&lt;$K261,IF(OFFSET(D261,-1,0)="","ERR",OFFSET(D261,-1,0)),""))</f>
        <v/>
      </c>
      <c r="E261" s="11">
        <f>IF($K261=E$8,1+IF(OFFSET(E261,-1,0)="",0,OFFSET(E261,-1,0)),IF(E$8&lt;$K261,IF(OFFSET(E261,-1,0)="","ERR",OFFSET(E261,-1,0)),""))</f>
        <v/>
      </c>
      <c r="F261" s="11">
        <f>IF($K261=F$8,1+IF(OFFSET(F261,-1,0)="",0,OFFSET(F261,-1,0)),IF(F$8&lt;$K261,IF(OFFSET(F261,-1,0)="","ERR",OFFSET(F261,-1,0)),""))</f>
        <v/>
      </c>
      <c r="G261" s="11">
        <f>IF($K261=G$8,1+IF(OFFSET(G261,-1,0)="",0,OFFSET(G261,-1,0)),IF(G$8&lt;$K261,IF(OFFSET(G261,-1,0)="","ERR",OFFSET(G261,-1,0)),""))</f>
        <v/>
      </c>
      <c r="H261" s="11">
        <f>IF($K261=H$8,1+IF(OFFSET(H261,-1,0)="",0,OFFSET(H261,-1,0)),IF(H$8&lt;$K261,IF(OFFSET(H261,-1,0)="","ERR",OFFSET(H261,-1,0)),""))</f>
        <v/>
      </c>
      <c r="I261" s="11">
        <f>IF($K261=I$8,1+IF(OFFSET(I261,-1,0)="",0,OFFSET(I261,-1,0)),IF(I$8&lt;$K261,IF(OFFSET(I261,-1,0)="","ERR",OFFSET(I261,-1,0)),""))</f>
        <v/>
      </c>
      <c r="J261" s="46">
        <f>_xlfn.TEXTJOIN(".",1,B261:I261)</f>
        <v/>
      </c>
      <c r="K261" s="46" t="inlineStr">
        <is>
          <t>Л7</t>
        </is>
      </c>
      <c r="L261" s="46" t="n"/>
      <c r="M261" s="47" t="inlineStr">
        <is>
          <t>Адаптер питания 12 В, ЮПТП</t>
        </is>
      </c>
      <c r="N261" s="46" t="inlineStr">
        <is>
          <t>шт.</t>
        </is>
      </c>
      <c r="O261" s="94">
        <f>P261+Q261+S261+V261</f>
        <v/>
      </c>
      <c r="P261" s="46" t="n"/>
      <c r="Q261" s="46" t="n"/>
      <c r="R261" s="46" t="n"/>
      <c r="S261" s="46" t="n"/>
      <c r="T261" s="46" t="n"/>
      <c r="U261" s="46" t="n">
        <v>1</v>
      </c>
      <c r="V261" s="46" t="n">
        <v>1</v>
      </c>
      <c r="W261" s="46" t="n"/>
      <c r="X261" s="46" t="n"/>
      <c r="Y261" s="46" t="n"/>
      <c r="Z261" s="46" t="n"/>
      <c r="AA261" s="48" t="n"/>
      <c r="AB261" s="179" t="n"/>
      <c r="AC261" s="189" t="n"/>
      <c r="AD261" s="189">
        <f>SUM(AB261:AC261)</f>
        <v/>
      </c>
      <c r="AE261" s="189">
        <f>AB261*$O261</f>
        <v/>
      </c>
      <c r="AF261" s="189">
        <f>AC261*$O261</f>
        <v/>
      </c>
      <c r="AG261" s="189">
        <f>SUM(AE261:AF261)</f>
        <v/>
      </c>
      <c r="AH261" s="182" t="n"/>
    </row>
    <row r="262" outlineLevel="1">
      <c r="A262" s="18" t="inlineStr">
        <is>
          <t>О</t>
        </is>
      </c>
      <c r="B262" s="11">
        <f>IF($K262=B$8,1+IF(OFFSET(B262,-1,0)="",0,OFFSET(B262,-1,0)),IF(B$8&lt;$K262,IF(OFFSET(B262,-1,0)="","ERR",OFFSET(B262,-1,0)),""))</f>
        <v/>
      </c>
      <c r="C262" s="11">
        <f>IF($K262=C$8,1+IF(OFFSET(C262,-1,0)="",0,OFFSET(C262,-1,0)),IF(C$8&lt;$K262,IF(OFFSET(C262,-1,0)="","ERR",OFFSET(C262,-1,0)),""))</f>
        <v/>
      </c>
      <c r="D262" s="11">
        <f>IF($K262=D$8,1+IF(OFFSET(D262,-1,0)="",0,OFFSET(D262,-1,0)),IF(D$8&lt;$K262,IF(OFFSET(D262,-1,0)="","ERR",OFFSET(D262,-1,0)),""))</f>
        <v/>
      </c>
      <c r="E262" s="11">
        <f>IF($K262=E$8,1+IF(OFFSET(E262,-1,0)="",0,OFFSET(E262,-1,0)),IF(E$8&lt;$K262,IF(OFFSET(E262,-1,0)="","ERR",OFFSET(E262,-1,0)),""))</f>
        <v/>
      </c>
      <c r="F262" s="11">
        <f>IF($K262=F$8,1+IF(OFFSET(F262,-1,0)="",0,OFFSET(F262,-1,0)),IF(F$8&lt;$K262,IF(OFFSET(F262,-1,0)="","ERR",OFFSET(F262,-1,0)),""))</f>
        <v/>
      </c>
      <c r="G262" s="11">
        <f>IF($K262=G$8,1+IF(OFFSET(G262,-1,0)="",0,OFFSET(G262,-1,0)),IF(G$8&lt;$K262,IF(OFFSET(G262,-1,0)="","ERR",OFFSET(G262,-1,0)),""))</f>
        <v/>
      </c>
      <c r="H262" s="11">
        <f>IF($K262=H$8,1+IF(OFFSET(H262,-1,0)="",0,OFFSET(H262,-1,0)),IF(H$8&lt;$K262,IF(OFFSET(H262,-1,0)="","ERR",OFFSET(H262,-1,0)),""))</f>
        <v/>
      </c>
      <c r="I262" s="11">
        <f>IF($K262=I$8,1+IF(OFFSET(I262,-1,0)="",0,OFFSET(I262,-1,0)),IF(I$8&lt;$K262,IF(OFFSET(I262,-1,0)="","ERR",OFFSET(I262,-1,0)),""))</f>
        <v/>
      </c>
      <c r="J262" s="46">
        <f>_xlfn.TEXTJOIN(".",1,B262:I262)</f>
        <v/>
      </c>
      <c r="K262" s="46" t="inlineStr">
        <is>
          <t>Л7</t>
        </is>
      </c>
      <c r="L262" s="46" t="n"/>
      <c r="M262" s="47" t="inlineStr">
        <is>
          <t>Источник бесперебойного питания ,  «Штиль» STR1101SL , ООО «Штиль Энерго»</t>
        </is>
      </c>
      <c r="N262" s="46" t="inlineStr">
        <is>
          <t>шт.</t>
        </is>
      </c>
      <c r="O262" s="94">
        <f>P262+Q262+S262+V262</f>
        <v/>
      </c>
      <c r="P262" s="46" t="n"/>
      <c r="Q262" s="46" t="n"/>
      <c r="R262" s="46" t="n"/>
      <c r="S262" s="46" t="n"/>
      <c r="T262" s="46" t="n"/>
      <c r="U262" s="46" t="n">
        <v>1</v>
      </c>
      <c r="V262" s="46" t="n">
        <v>1</v>
      </c>
      <c r="W262" s="46" t="n"/>
      <c r="X262" s="46" t="n"/>
      <c r="Y262" s="46" t="n"/>
      <c r="Z262" s="46" t="n"/>
      <c r="AA262" s="48" t="n"/>
      <c r="AB262" s="179" t="n"/>
      <c r="AC262" s="189" t="n"/>
      <c r="AD262" s="189">
        <f>SUM(AB262:AC262)</f>
        <v/>
      </c>
      <c r="AE262" s="189">
        <f>AB262*$O262</f>
        <v/>
      </c>
      <c r="AF262" s="189">
        <f>AC262*$O262</f>
        <v/>
      </c>
      <c r="AG262" s="189">
        <f>SUM(AE262:AF262)</f>
        <v/>
      </c>
      <c r="AH262" s="182" t="n"/>
    </row>
    <row r="263" outlineLevel="1">
      <c r="A263" s="18" t="inlineStr">
        <is>
          <t>О</t>
        </is>
      </c>
      <c r="B263" s="11">
        <f>IF($K263=B$8,1+IF(OFFSET(B263,-1,0)="",0,OFFSET(B263,-1,0)),IF(B$8&lt;$K263,IF(OFFSET(B263,-1,0)="","ERR",OFFSET(B263,-1,0)),""))</f>
        <v/>
      </c>
      <c r="C263" s="11">
        <f>IF($K263=C$8,1+IF(OFFSET(C263,-1,0)="",0,OFFSET(C263,-1,0)),IF(C$8&lt;$K263,IF(OFFSET(C263,-1,0)="","ERR",OFFSET(C263,-1,0)),""))</f>
        <v/>
      </c>
      <c r="D263" s="11">
        <f>IF($K263=D$8,1+IF(OFFSET(D263,-1,0)="",0,OFFSET(D263,-1,0)),IF(D$8&lt;$K263,IF(OFFSET(D263,-1,0)="","ERR",OFFSET(D263,-1,0)),""))</f>
        <v/>
      </c>
      <c r="E263" s="11">
        <f>IF($K263=E$8,1+IF(OFFSET(E263,-1,0)="",0,OFFSET(E263,-1,0)),IF(E$8&lt;$K263,IF(OFFSET(E263,-1,0)="","ERR",OFFSET(E263,-1,0)),""))</f>
        <v/>
      </c>
      <c r="F263" s="11">
        <f>IF($K263=F$8,1+IF(OFFSET(F263,-1,0)="",0,OFFSET(F263,-1,0)),IF(F$8&lt;$K263,IF(OFFSET(F263,-1,0)="","ERR",OFFSET(F263,-1,0)),""))</f>
        <v/>
      </c>
      <c r="G263" s="11">
        <f>IF($K263=G$8,1+IF(OFFSET(G263,-1,0)="",0,OFFSET(G263,-1,0)),IF(G$8&lt;$K263,IF(OFFSET(G263,-1,0)="","ERR",OFFSET(G263,-1,0)),""))</f>
        <v/>
      </c>
      <c r="H263" s="11">
        <f>IF($K263=H$8,1+IF(OFFSET(H263,-1,0)="",0,OFFSET(H263,-1,0)),IF(H$8&lt;$K263,IF(OFFSET(H263,-1,0)="","ERR",OFFSET(H263,-1,0)),""))</f>
        <v/>
      </c>
      <c r="I263" s="11">
        <f>IF($K263=I$8,1+IF(OFFSET(I263,-1,0)="",0,OFFSET(I263,-1,0)),IF(I$8&lt;$K263,IF(OFFSET(I263,-1,0)="","ERR",OFFSET(I263,-1,0)),""))</f>
        <v/>
      </c>
      <c r="J263" s="46">
        <f>_xlfn.TEXTJOIN(".",1,B263:I263)</f>
        <v/>
      </c>
      <c r="K263" s="46" t="inlineStr">
        <is>
          <t>Л7</t>
        </is>
      </c>
      <c r="L263" s="46" t="n"/>
      <c r="M263" s="47" t="inlineStr">
        <is>
          <t>Корпус с DIN-рейкой на 22 места, 19 дюймов, 3 юнита, PS-3U, Cabeus</t>
        </is>
      </c>
      <c r="N263" s="46" t="inlineStr">
        <is>
          <t>шт.</t>
        </is>
      </c>
      <c r="O263" s="94">
        <f>P263+Q263+S263+V263</f>
        <v/>
      </c>
      <c r="P263" s="46" t="n"/>
      <c r="Q263" s="46" t="n"/>
      <c r="R263" s="46" t="n"/>
      <c r="S263" s="46" t="n"/>
      <c r="T263" s="46" t="n"/>
      <c r="U263" s="46" t="n">
        <v>1</v>
      </c>
      <c r="V263" s="46" t="n">
        <v>1</v>
      </c>
      <c r="W263" s="46" t="n"/>
      <c r="X263" s="46" t="n"/>
      <c r="Y263" s="46" t="n"/>
      <c r="Z263" s="46" t="n"/>
      <c r="AA263" s="48" t="n"/>
      <c r="AB263" s="179" t="n"/>
      <c r="AC263" s="189" t="n"/>
      <c r="AD263" s="189">
        <f>SUM(AB263:AC263)</f>
        <v/>
      </c>
      <c r="AE263" s="189">
        <f>AB263*$O263</f>
        <v/>
      </c>
      <c r="AF263" s="189">
        <f>AC263*$O263</f>
        <v/>
      </c>
      <c r="AG263" s="189">
        <f>SUM(AE263:AF263)</f>
        <v/>
      </c>
      <c r="AH263" s="182" t="n"/>
    </row>
    <row r="264" outlineLevel="1">
      <c r="A264" s="18" t="inlineStr">
        <is>
          <t>О</t>
        </is>
      </c>
      <c r="B264" s="11">
        <f>IF($K264=B$8,1+IF(OFFSET(B264,-1,0)="",0,OFFSET(B264,-1,0)),IF(B$8&lt;$K264,IF(OFFSET(B264,-1,0)="","ERR",OFFSET(B264,-1,0)),""))</f>
        <v/>
      </c>
      <c r="C264" s="11">
        <f>IF($K264=C$8,1+IF(OFFSET(C264,-1,0)="",0,OFFSET(C264,-1,0)),IF(C$8&lt;$K264,IF(OFFSET(C264,-1,0)="","ERR",OFFSET(C264,-1,0)),""))</f>
        <v/>
      </c>
      <c r="D264" s="11">
        <f>IF($K264=D$8,1+IF(OFFSET(D264,-1,0)="",0,OFFSET(D264,-1,0)),IF(D$8&lt;$K264,IF(OFFSET(D264,-1,0)="","ERR",OFFSET(D264,-1,0)),""))</f>
        <v/>
      </c>
      <c r="E264" s="11">
        <f>IF($K264=E$8,1+IF(OFFSET(E264,-1,0)="",0,OFFSET(E264,-1,0)),IF(E$8&lt;$K264,IF(OFFSET(E264,-1,0)="","ERR",OFFSET(E264,-1,0)),""))</f>
        <v/>
      </c>
      <c r="F264" s="11">
        <f>IF($K264=F$8,1+IF(OFFSET(F264,-1,0)="",0,OFFSET(F264,-1,0)),IF(F$8&lt;$K264,IF(OFFSET(F264,-1,0)="","ERR",OFFSET(F264,-1,0)),""))</f>
        <v/>
      </c>
      <c r="G264" s="11">
        <f>IF($K264=G$8,1+IF(OFFSET(G264,-1,0)="",0,OFFSET(G264,-1,0)),IF(G$8&lt;$K264,IF(OFFSET(G264,-1,0)="","ERR",OFFSET(G264,-1,0)),""))</f>
        <v/>
      </c>
      <c r="H264" s="11">
        <f>IF($K264=H$8,1+IF(OFFSET(H264,-1,0)="",0,OFFSET(H264,-1,0)),IF(H$8&lt;$K264,IF(OFFSET(H264,-1,0)="","ERR",OFFSET(H264,-1,0)),""))</f>
        <v/>
      </c>
      <c r="I264" s="11">
        <f>IF($K264=I$8,1+IF(OFFSET(I264,-1,0)="",0,OFFSET(I264,-1,0)),IF(I$8&lt;$K264,IF(OFFSET(I264,-1,0)="","ERR",OFFSET(I264,-1,0)),""))</f>
        <v/>
      </c>
      <c r="J264" s="46">
        <f>_xlfn.TEXTJOIN(".",1,B264:I264)</f>
        <v/>
      </c>
      <c r="K264" s="46" t="inlineStr">
        <is>
          <t>Л7</t>
        </is>
      </c>
      <c r="L264" s="46" t="n"/>
      <c r="M264" s="47" t="inlineStr">
        <is>
          <t>Розетка РАр10-3-ОПс заземлением на DIN-рейку IEK, MRD10-16, IEK</t>
        </is>
      </c>
      <c r="N264" s="46" t="inlineStr">
        <is>
          <t>шт.</t>
        </is>
      </c>
      <c r="O264" s="94">
        <f>P264+Q264+S264+V264</f>
        <v/>
      </c>
      <c r="P264" s="46" t="n"/>
      <c r="Q264" s="46" t="n"/>
      <c r="R264" s="46" t="n"/>
      <c r="S264" s="46" t="n"/>
      <c r="T264" s="46" t="n"/>
      <c r="U264" s="46" t="n">
        <v>2</v>
      </c>
      <c r="V264" s="46" t="n">
        <v>2</v>
      </c>
      <c r="W264" s="46" t="n"/>
      <c r="X264" s="46" t="n"/>
      <c r="Y264" s="46" t="n"/>
      <c r="Z264" s="46" t="n"/>
      <c r="AA264" s="48" t="n"/>
      <c r="AB264" s="179" t="n"/>
      <c r="AC264" s="189" t="n"/>
      <c r="AD264" s="189">
        <f>SUM(AB264:AC264)</f>
        <v/>
      </c>
      <c r="AE264" s="189">
        <f>AB264*$O264</f>
        <v/>
      </c>
      <c r="AF264" s="189">
        <f>AC264*$O264</f>
        <v/>
      </c>
      <c r="AG264" s="189">
        <f>SUM(AE264:AF264)</f>
        <v/>
      </c>
      <c r="AH264" s="182" t="n"/>
    </row>
    <row r="265" outlineLevel="1" ht="45" customHeight="1">
      <c r="A265" s="18" t="inlineStr">
        <is>
          <t>О</t>
        </is>
      </c>
      <c r="B265" s="11">
        <f>IF($K265=B$8,1+IF(OFFSET(B265,-1,0)="",0,OFFSET(B265,-1,0)),IF(B$8&lt;$K265,IF(OFFSET(B265,-1,0)="","ERR",OFFSET(B265,-1,0)),""))</f>
        <v/>
      </c>
      <c r="C265" s="11">
        <f>IF($K265=C$8,1+IF(OFFSET(C265,-1,0)="",0,OFFSET(C265,-1,0)),IF(C$8&lt;$K265,IF(OFFSET(C265,-1,0)="","ERR",OFFSET(C265,-1,0)),""))</f>
        <v/>
      </c>
      <c r="D265" s="11">
        <f>IF($K265=D$8,1+IF(OFFSET(D265,-1,0)="",0,OFFSET(D265,-1,0)),IF(D$8&lt;$K265,IF(OFFSET(D265,-1,0)="","ERR",OFFSET(D265,-1,0)),""))</f>
        <v/>
      </c>
      <c r="E265" s="11">
        <f>IF($K265=E$8,1+IF(OFFSET(E265,-1,0)="",0,OFFSET(E265,-1,0)),IF(E$8&lt;$K265,IF(OFFSET(E265,-1,0)="","ERR",OFFSET(E265,-1,0)),""))</f>
        <v/>
      </c>
      <c r="F265" s="11">
        <f>IF($K265=F$8,1+IF(OFFSET(F265,-1,0)="",0,OFFSET(F265,-1,0)),IF(F$8&lt;$K265,IF(OFFSET(F265,-1,0)="","ERR",OFFSET(F265,-1,0)),""))</f>
        <v/>
      </c>
      <c r="G265" s="11">
        <f>IF($K265=G$8,1+IF(OFFSET(G265,-1,0)="",0,OFFSET(G265,-1,0)),IF(G$8&lt;$K265,IF(OFFSET(G265,-1,0)="","ERR",OFFSET(G265,-1,0)),""))</f>
        <v/>
      </c>
      <c r="H265" s="11">
        <f>IF($K265=H$8,1+IF(OFFSET(H265,-1,0)="",0,OFFSET(H265,-1,0)),IF(H$8&lt;$K265,IF(OFFSET(H265,-1,0)="","ERR",OFFSET(H265,-1,0)),""))</f>
        <v/>
      </c>
      <c r="I265" s="11">
        <f>IF($K265=I$8,1+IF(OFFSET(I265,-1,0)="",0,OFFSET(I265,-1,0)),IF(I$8&lt;$K265,IF(OFFSET(I265,-1,0)="","ERR",OFFSET(I265,-1,0)),""))</f>
        <v/>
      </c>
      <c r="J265" s="49">
        <f>_xlfn.TEXTJOIN(".",1,B265:I265)</f>
        <v/>
      </c>
      <c r="K265" s="49" t="inlineStr">
        <is>
          <t>Л7</t>
        </is>
      </c>
      <c r="L265" s="49" t="n"/>
      <c r="M265" s="63" t="inlineStr">
        <is>
          <t>Автоматический выключатель дифференциального тока, АВДТ-63М 1P+N 18мм 6А, EKF</t>
        </is>
      </c>
      <c r="N265" s="49" t="inlineStr">
        <is>
          <t>шт.</t>
        </is>
      </c>
      <c r="O265" s="50">
        <f>P265+Q265+S265+V265</f>
        <v/>
      </c>
      <c r="P265" s="49" t="n"/>
      <c r="Q265" s="49" t="n"/>
      <c r="R265" s="49" t="n"/>
      <c r="S265" s="49" t="n"/>
      <c r="T265" s="49" t="n"/>
      <c r="U265" s="49" t="n">
        <v>1</v>
      </c>
      <c r="V265" s="49" t="n">
        <v>1</v>
      </c>
      <c r="W265" s="50" t="n">
        <v>1</v>
      </c>
      <c r="X265" s="26" t="n">
        <v>7721403552</v>
      </c>
      <c r="Y265" s="26" t="n">
        <v>771501001</v>
      </c>
      <c r="Z265" s="26" t="inlineStr">
        <is>
          <t>ООО "Электрорешения"</t>
        </is>
      </c>
      <c r="AA265" s="51" t="inlineStr">
        <is>
          <t>ГТ</t>
        </is>
      </c>
      <c r="AB265" s="191" t="n"/>
      <c r="AC265" s="189" t="n"/>
      <c r="AD265" s="190">
        <f>SUM(AB265:AC265)</f>
        <v/>
      </c>
      <c r="AE265" s="190">
        <f>AB265*$O265*$W265</f>
        <v/>
      </c>
      <c r="AF265" s="190">
        <f>AC265*$O265*$W265</f>
        <v/>
      </c>
      <c r="AG265" s="190">
        <f>SUM(AE265:AF265)</f>
        <v/>
      </c>
      <c r="AH265" s="182" t="n"/>
    </row>
    <row r="266" outlineLevel="1">
      <c r="A266" s="18" t="inlineStr">
        <is>
          <t>О</t>
        </is>
      </c>
      <c r="B266" s="11">
        <f>IF($K266=B$8,1+IF(OFFSET(B266,-1,0)="",0,OFFSET(B266,-1,0)),IF(B$8&lt;$K266,IF(OFFSET(B266,-1,0)="","ERR",OFFSET(B266,-1,0)),""))</f>
        <v/>
      </c>
      <c r="C266" s="11">
        <f>IF($K266=C$8,1+IF(OFFSET(C266,-1,0)="",0,OFFSET(C266,-1,0)),IF(C$8&lt;$K266,IF(OFFSET(C266,-1,0)="","ERR",OFFSET(C266,-1,0)),""))</f>
        <v/>
      </c>
      <c r="D266" s="11">
        <f>IF($K266=D$8,1+IF(OFFSET(D266,-1,0)="",0,OFFSET(D266,-1,0)),IF(D$8&lt;$K266,IF(OFFSET(D266,-1,0)="","ERR",OFFSET(D266,-1,0)),""))</f>
        <v/>
      </c>
      <c r="E266" s="11">
        <f>IF($K266=E$8,1+IF(OFFSET(E266,-1,0)="",0,OFFSET(E266,-1,0)),IF(E$8&lt;$K266,IF(OFFSET(E266,-1,0)="","ERR",OFFSET(E266,-1,0)),""))</f>
        <v/>
      </c>
      <c r="F266" s="11">
        <f>IF($K266=F$8,1+IF(OFFSET(F266,-1,0)="",0,OFFSET(F266,-1,0)),IF(F$8&lt;$K266,IF(OFFSET(F266,-1,0)="","ERR",OFFSET(F266,-1,0)),""))</f>
        <v/>
      </c>
      <c r="G266" s="11">
        <f>IF($K266=G$8,1+IF(OFFSET(G266,-1,0)="",0,OFFSET(G266,-1,0)),IF(G$8&lt;$K266,IF(OFFSET(G266,-1,0)="","ERR",OFFSET(G266,-1,0)),""))</f>
        <v/>
      </c>
      <c r="H266" s="11">
        <f>IF($K266=H$8,1+IF(OFFSET(H266,-1,0)="",0,OFFSET(H266,-1,0)),IF(H$8&lt;$K266,IF(OFFSET(H266,-1,0)="","ERR",OFFSET(H266,-1,0)),""))</f>
        <v/>
      </c>
      <c r="I266" s="11">
        <f>IF($K266=I$8,1+IF(OFFSET(I266,-1,0)="",0,OFFSET(I266,-1,0)),IF(I$8&lt;$K266,IF(OFFSET(I266,-1,0)="","ERR",OFFSET(I266,-1,0)),""))</f>
        <v/>
      </c>
      <c r="J266" s="46">
        <f>_xlfn.TEXTJOIN(".",1,B266:I266)</f>
        <v/>
      </c>
      <c r="K266" s="46" t="inlineStr">
        <is>
          <t>Л7</t>
        </is>
      </c>
      <c r="L266" s="46" t="n"/>
      <c r="M266" s="47" t="inlineStr">
        <is>
          <t>Вентиляторный модуль для шкафов 19" 1U, Cabeus JG02-BK 2, Cabeus</t>
        </is>
      </c>
      <c r="N266" s="46" t="inlineStr">
        <is>
          <t>шт.</t>
        </is>
      </c>
      <c r="O266" s="94">
        <f>P266+Q266+S266+V266</f>
        <v/>
      </c>
      <c r="P266" s="46" t="n"/>
      <c r="Q266" s="46" t="n"/>
      <c r="R266" s="46" t="n"/>
      <c r="S266" s="46" t="n"/>
      <c r="T266" s="46" t="n"/>
      <c r="U266" s="46" t="n">
        <v>1</v>
      </c>
      <c r="V266" s="46" t="n">
        <v>1</v>
      </c>
      <c r="W266" s="46" t="n"/>
      <c r="X266" s="46" t="n"/>
      <c r="Y266" s="46" t="n"/>
      <c r="Z266" s="46" t="n"/>
      <c r="AA266" s="48" t="n"/>
      <c r="AB266" s="179" t="n"/>
      <c r="AC266" s="189" t="n"/>
      <c r="AD266" s="189">
        <f>SUM(AB266:AC266)</f>
        <v/>
      </c>
      <c r="AE266" s="189">
        <f>AB266*$O266</f>
        <v/>
      </c>
      <c r="AF266" s="189">
        <f>AC266*$O266</f>
        <v/>
      </c>
      <c r="AG266" s="189">
        <f>SUM(AE266:AF266)</f>
        <v/>
      </c>
      <c r="AH266" s="182" t="n"/>
    </row>
    <row r="267" outlineLevel="1">
      <c r="A267" s="18" t="inlineStr">
        <is>
          <t>О</t>
        </is>
      </c>
      <c r="B267" s="11">
        <f>IF($K267=B$8,1+IF(OFFSET(B267,-1,0)="",0,OFFSET(B267,-1,0)),IF(B$8&lt;$K267,IF(OFFSET(B267,-1,0)="","ERR",OFFSET(B267,-1,0)),""))</f>
        <v/>
      </c>
      <c r="C267" s="11">
        <f>IF($K267=C$8,1+IF(OFFSET(C267,-1,0)="",0,OFFSET(C267,-1,0)),IF(C$8&lt;$K267,IF(OFFSET(C267,-1,0)="","ERR",OFFSET(C267,-1,0)),""))</f>
        <v/>
      </c>
      <c r="D267" s="11">
        <f>IF($K267=D$8,1+IF(OFFSET(D267,-1,0)="",0,OFFSET(D267,-1,0)),IF(D$8&lt;$K267,IF(OFFSET(D267,-1,0)="","ERR",OFFSET(D267,-1,0)),""))</f>
        <v/>
      </c>
      <c r="E267" s="11">
        <f>IF($K267=E$8,1+IF(OFFSET(E267,-1,0)="",0,OFFSET(E267,-1,0)),IF(E$8&lt;$K267,IF(OFFSET(E267,-1,0)="","ERR",OFFSET(E267,-1,0)),""))</f>
        <v/>
      </c>
      <c r="F267" s="11">
        <f>IF($K267=F$8,1+IF(OFFSET(F267,-1,0)="",0,OFFSET(F267,-1,0)),IF(F$8&lt;$K267,IF(OFFSET(F267,-1,0)="","ERR",OFFSET(F267,-1,0)),""))</f>
        <v/>
      </c>
      <c r="G267" s="11">
        <f>IF($K267=G$8,1+IF(OFFSET(G267,-1,0)="",0,OFFSET(G267,-1,0)),IF(G$8&lt;$K267,IF(OFFSET(G267,-1,0)="","ERR",OFFSET(G267,-1,0)),""))</f>
        <v/>
      </c>
      <c r="H267" s="11">
        <f>IF($K267=H$8,1+IF(OFFSET(H267,-1,0)="",0,OFFSET(H267,-1,0)),IF(H$8&lt;$K267,IF(OFFSET(H267,-1,0)="","ERR",OFFSET(H267,-1,0)),""))</f>
        <v/>
      </c>
      <c r="I267" s="11">
        <f>IF($K267=I$8,1+IF(OFFSET(I267,-1,0)="",0,OFFSET(I267,-1,0)),IF(I$8&lt;$K267,IF(OFFSET(I267,-1,0)="","ERR",OFFSET(I267,-1,0)),""))</f>
        <v/>
      </c>
      <c r="J267" s="46">
        <f>_xlfn.TEXTJOIN(".",1,B267:I267)</f>
        <v/>
      </c>
      <c r="K267" s="46" t="inlineStr">
        <is>
          <t>Л7</t>
        </is>
      </c>
      <c r="L267" s="46" t="n"/>
      <c r="M267" s="64" t="inlineStr">
        <is>
          <t>Сопутствующие и прочие материалы*</t>
        </is>
      </c>
      <c r="N267" s="46" t="inlineStr">
        <is>
          <t>компл</t>
        </is>
      </c>
      <c r="O267" s="94">
        <f>P267+Q267+S267+V267</f>
        <v/>
      </c>
      <c r="P267" s="46" t="n"/>
      <c r="Q267" s="46" t="n"/>
      <c r="R267" s="46" t="n"/>
      <c r="S267" s="46" t="n"/>
      <c r="T267" s="46" t="n"/>
      <c r="U267" s="46" t="n">
        <v>1</v>
      </c>
      <c r="V267" s="46" t="n">
        <v>1</v>
      </c>
      <c r="W267" s="46" t="n"/>
      <c r="X267" s="46" t="n"/>
      <c r="Y267" s="46" t="n"/>
      <c r="Z267" s="46" t="n"/>
      <c r="AA267" s="48" t="n"/>
      <c r="AB267" s="179" t="n"/>
      <c r="AC267" s="189" t="n"/>
      <c r="AD267" s="189">
        <f>SUM(AB267:AC267)</f>
        <v/>
      </c>
      <c r="AE267" s="189">
        <f>AB267*$O267</f>
        <v/>
      </c>
      <c r="AF267" s="189">
        <f>AC267*$O267</f>
        <v/>
      </c>
      <c r="AG267" s="189">
        <f>SUM(AE267:AF267)</f>
        <v/>
      </c>
      <c r="AH267" s="182" t="n"/>
    </row>
    <row r="268" outlineLevel="1">
      <c r="A268" s="18" t="n"/>
      <c r="B268" s="11">
        <f>IF($K268=B$8,1+IF(OFFSET(B268,-1,0)="",0,OFFSET(B268,-1,0)),IF(B$8&lt;$K268,IF(OFFSET(B268,-1,0)="","ERR",OFFSET(B268,-1,0)),""))</f>
        <v/>
      </c>
      <c r="C268" s="11">
        <f>IF($K268=C$8,1+IF(OFFSET(C268,-1,0)="",0,OFFSET(C268,-1,0)),IF(C$8&lt;$K268,IF(OFFSET(C268,-1,0)="","ERR",OFFSET(C268,-1,0)),""))</f>
        <v/>
      </c>
      <c r="D268" s="11">
        <f>IF($K268=D$8,1+IF(OFFSET(D268,-1,0)="",0,OFFSET(D268,-1,0)),IF(D$8&lt;$K268,IF(OFFSET(D268,-1,0)="","ERR",OFFSET(D268,-1,0)),""))</f>
        <v/>
      </c>
      <c r="E268" s="11">
        <f>IF($K268=E$8,1+IF(OFFSET(E268,-1,0)="",0,OFFSET(E268,-1,0)),IF(E$8&lt;$K268,IF(OFFSET(E268,-1,0)="","ERR",OFFSET(E268,-1,0)),""))</f>
        <v/>
      </c>
      <c r="F268" s="11">
        <f>IF($K268=F$8,1+IF(OFFSET(F268,-1,0)="",0,OFFSET(F268,-1,0)),IF(F$8&lt;$K268,IF(OFFSET(F268,-1,0)="","ERR",OFFSET(F268,-1,0)),""))</f>
        <v/>
      </c>
      <c r="G268" s="11">
        <f>IF($K268=G$8,1+IF(OFFSET(G268,-1,0)="",0,OFFSET(G268,-1,0)),IF(G$8&lt;$K268,IF(OFFSET(G268,-1,0)="","ERR",OFFSET(G268,-1,0)),""))</f>
        <v/>
      </c>
      <c r="H268" s="11">
        <f>IF($K268=H$8,1+IF(OFFSET(H268,-1,0)="",0,OFFSET(H268,-1,0)),IF(H$8&lt;$K268,IF(OFFSET(H268,-1,0)="","ERR",OFFSET(H268,-1,0)),""))</f>
        <v/>
      </c>
      <c r="I268" s="11">
        <f>IF($K268=I$8,1+IF(OFFSET(I268,-1,0)="",0,OFFSET(I268,-1,0)),IF(I$8&lt;$K268,IF(OFFSET(I268,-1,0)="","ERR",OFFSET(I268,-1,0)),""))</f>
        <v/>
      </c>
      <c r="J268" s="43">
        <f>_xlfn.TEXTJOIN(".",1,B268:I268)</f>
        <v/>
      </c>
      <c r="K268" s="43" t="inlineStr">
        <is>
          <t>Л5</t>
        </is>
      </c>
      <c r="L268" s="43" t="inlineStr">
        <is>
          <t>3.3.3.10.3</t>
        </is>
      </c>
      <c r="M268" s="44" t="inlineStr">
        <is>
          <t>Кабельно-проводниковая продукция</t>
        </is>
      </c>
      <c r="N268" s="43" t="n"/>
      <c r="O268" s="9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5" t="n"/>
      <c r="AB268" s="196" t="n"/>
      <c r="AC268" s="189" t="n"/>
      <c r="AD268" s="189" t="n"/>
      <c r="AE268" s="189" t="n"/>
      <c r="AF268" s="189" t="n"/>
      <c r="AG268" s="189" t="n"/>
      <c r="AH268" s="193" t="n"/>
    </row>
    <row r="269" outlineLevel="1" ht="25.5" customHeight="1">
      <c r="A269" s="18" t="inlineStr">
        <is>
          <t>О</t>
        </is>
      </c>
      <c r="B269" s="11">
        <f>IF($K269=B$8,1+IF(OFFSET(B269,-1,0)="",0,OFFSET(B269,-1,0)),IF(B$8&lt;$K269,IF(OFFSET(B269,-1,0)="","ERR",OFFSET(B269,-1,0)),""))</f>
        <v/>
      </c>
      <c r="C269" s="11">
        <f>IF($K269=C$8,1+IF(OFFSET(C269,-1,0)="",0,OFFSET(C269,-1,0)),IF(C$8&lt;$K269,IF(OFFSET(C269,-1,0)="","ERR",OFFSET(C269,-1,0)),""))</f>
        <v/>
      </c>
      <c r="D269" s="11">
        <f>IF($K269=D$8,1+IF(OFFSET(D269,-1,0)="",0,OFFSET(D269,-1,0)),IF(D$8&lt;$K269,IF(OFFSET(D269,-1,0)="","ERR",OFFSET(D269,-1,0)),""))</f>
        <v/>
      </c>
      <c r="E269" s="11">
        <f>IF($K269=E$8,1+IF(OFFSET(E269,-1,0)="",0,OFFSET(E269,-1,0)),IF(E$8&lt;$K269,IF(OFFSET(E269,-1,0)="","ERR",OFFSET(E269,-1,0)),""))</f>
        <v/>
      </c>
      <c r="F269" s="11">
        <f>IF($K269=F$8,1+IF(OFFSET(F269,-1,0)="",0,OFFSET(F269,-1,0)),IF(F$8&lt;$K269,IF(OFFSET(F269,-1,0)="","ERR",OFFSET(F269,-1,0)),""))</f>
        <v/>
      </c>
      <c r="G269" s="11">
        <f>IF($K269=G$8,1+IF(OFFSET(G269,-1,0)="",0,OFFSET(G269,-1,0)),IF(G$8&lt;$K269,IF(OFFSET(G269,-1,0)="","ERR",OFFSET(G269,-1,0)),""))</f>
        <v/>
      </c>
      <c r="H269" s="11">
        <f>IF($K269=H$8,1+IF(OFFSET(H269,-1,0)="",0,OFFSET(H269,-1,0)),IF(H$8&lt;$K269,IF(OFFSET(H269,-1,0)="","ERR",OFFSET(H269,-1,0)),""))</f>
        <v/>
      </c>
      <c r="I269" s="11">
        <f>IF($K269=I$8,1+IF(OFFSET(I269,-1,0)="",0,OFFSET(I269,-1,0)),IF(I$8&lt;$K269,IF(OFFSET(I269,-1,0)="","ERR",OFFSET(I269,-1,0)),""))</f>
        <v/>
      </c>
      <c r="J269" s="46">
        <f>_xlfn.TEXTJOIN(".",1,B269:I269)</f>
        <v/>
      </c>
      <c r="K269" s="46" t="inlineStr">
        <is>
          <t>Л6</t>
        </is>
      </c>
      <c r="L269" s="46" t="inlineStr">
        <is>
          <t>3.3.3.10.3.1</t>
        </is>
      </c>
      <c r="M269" s="47" t="inlineStr">
        <is>
          <t>Прокладка кабеля/провода слаботочных систем и автоматики по конструкциям и в трубах здания: КПСЭнг(А)-FRHF 2x2x0,75</t>
        </is>
      </c>
      <c r="N269" s="46" t="inlineStr">
        <is>
          <t>пог. м</t>
        </is>
      </c>
      <c r="O269" s="94">
        <f>P269+Q269+S269+V269</f>
        <v/>
      </c>
      <c r="P269" s="46" t="n"/>
      <c r="Q269" s="46" t="n"/>
      <c r="R269" s="46" t="n"/>
      <c r="S269" s="46" t="n">
        <v>15</v>
      </c>
      <c r="T269" s="46" t="n">
        <v>15</v>
      </c>
      <c r="U269" s="46" t="n">
        <v>15</v>
      </c>
      <c r="V269" s="46" t="n">
        <v>15</v>
      </c>
      <c r="W269" s="46" t="n"/>
      <c r="X269" s="46" t="n"/>
      <c r="Y269" s="46" t="n"/>
      <c r="Z269" s="46" t="n"/>
      <c r="AA269" s="48" t="n"/>
      <c r="AB269" s="179" t="n"/>
      <c r="AC269" s="180" t="n">
        <v>95</v>
      </c>
      <c r="AD269" s="189">
        <f>SUM(AB269:AC269)</f>
        <v/>
      </c>
      <c r="AE269" s="189">
        <f>AB269*$O269</f>
        <v/>
      </c>
      <c r="AF269" s="189">
        <f>AC269*$O269</f>
        <v/>
      </c>
      <c r="AG269" s="189">
        <f>SUM(AE269:AF269)</f>
        <v/>
      </c>
      <c r="AH269" s="182" t="n"/>
    </row>
    <row r="270" outlineLevel="1">
      <c r="A270" s="18" t="n"/>
      <c r="B270" s="11">
        <f>IF($K270=B$8,1+IF(OFFSET(B270,-1,0)="",0,OFFSET(B270,-1,0)),IF(B$8&lt;$K270,IF(OFFSET(B270,-1,0)="","ERR",OFFSET(B270,-1,0)),""))</f>
        <v/>
      </c>
      <c r="C270" s="11">
        <f>IF($K270=C$8,1+IF(OFFSET(C270,-1,0)="",0,OFFSET(C270,-1,0)),IF(C$8&lt;$K270,IF(OFFSET(C270,-1,0)="","ERR",OFFSET(C270,-1,0)),""))</f>
        <v/>
      </c>
      <c r="D270" s="11">
        <f>IF($K270=D$8,1+IF(OFFSET(D270,-1,0)="",0,OFFSET(D270,-1,0)),IF(D$8&lt;$K270,IF(OFFSET(D270,-1,0)="","ERR",OFFSET(D270,-1,0)),""))</f>
        <v/>
      </c>
      <c r="E270" s="11">
        <f>IF($K270=E$8,1+IF(OFFSET(E270,-1,0)="",0,OFFSET(E270,-1,0)),IF(E$8&lt;$K270,IF(OFFSET(E270,-1,0)="","ERR",OFFSET(E270,-1,0)),""))</f>
        <v/>
      </c>
      <c r="F270" s="11">
        <f>IF($K270=F$8,1+IF(OFFSET(F270,-1,0)="",0,OFFSET(F270,-1,0)),IF(F$8&lt;$K270,IF(OFFSET(F270,-1,0)="","ERR",OFFSET(F270,-1,0)),""))</f>
        <v/>
      </c>
      <c r="G270" s="11">
        <f>IF($K270=G$8,1+IF(OFFSET(G270,-1,0)="",0,OFFSET(G270,-1,0)),IF(G$8&lt;$K270,IF(OFFSET(G270,-1,0)="","ERR",OFFSET(G270,-1,0)),""))</f>
        <v/>
      </c>
      <c r="H270" s="11">
        <f>IF($K270=H$8,1+IF(OFFSET(H270,-1,0)="",0,OFFSET(H270,-1,0)),IF(H$8&lt;$K270,IF(OFFSET(H270,-1,0)="","ERR",OFFSET(H270,-1,0)),""))</f>
        <v/>
      </c>
      <c r="I270" s="11">
        <f>IF($K270=I$8,1+IF(OFFSET(I270,-1,0)="",0,OFFSET(I270,-1,0)),IF(I$8&lt;$K270,IF(OFFSET(I270,-1,0)="","ERR",OFFSET(I270,-1,0)),""))</f>
        <v/>
      </c>
      <c r="J270" s="43">
        <f>_xlfn.TEXTJOIN(".",1,B270:I270)</f>
        <v/>
      </c>
      <c r="K270" s="43" t="inlineStr">
        <is>
          <t>Л5</t>
        </is>
      </c>
      <c r="L270" s="43" t="inlineStr">
        <is>
          <t>3.3.3.10.4</t>
        </is>
      </c>
      <c r="M270" s="44" t="inlineStr">
        <is>
          <t>Гофра, трубы, кабеленесущие конструкции</t>
        </is>
      </c>
      <c r="N270" s="43" t="n"/>
      <c r="O270" s="9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5" t="n"/>
      <c r="AB270" s="196" t="n"/>
      <c r="AC270" s="189" t="n"/>
      <c r="AD270" s="189" t="n"/>
      <c r="AE270" s="189" t="n"/>
      <c r="AF270" s="189" t="n"/>
      <c r="AG270" s="189" t="n"/>
      <c r="AH270" s="193" t="n"/>
    </row>
    <row r="271" outlineLevel="1" ht="25.5" customHeight="1">
      <c r="A271" s="18" t="inlineStr">
        <is>
          <t>О</t>
        </is>
      </c>
      <c r="B271" s="11">
        <f>IF($K271=B$8,1+IF(OFFSET(B271,-1,0)="",0,OFFSET(B271,-1,0)),IF(B$8&lt;$K271,IF(OFFSET(B271,-1,0)="","ERR",OFFSET(B271,-1,0)),""))</f>
        <v/>
      </c>
      <c r="C271" s="11">
        <f>IF($K271=C$8,1+IF(OFFSET(C271,-1,0)="",0,OFFSET(C271,-1,0)),IF(C$8&lt;$K271,IF(OFFSET(C271,-1,0)="","ERR",OFFSET(C271,-1,0)),""))</f>
        <v/>
      </c>
      <c r="D271" s="11">
        <f>IF($K271=D$8,1+IF(OFFSET(D271,-1,0)="",0,OFFSET(D271,-1,0)),IF(D$8&lt;$K271,IF(OFFSET(D271,-1,0)="","ERR",OFFSET(D271,-1,0)),""))</f>
        <v/>
      </c>
      <c r="E271" s="11">
        <f>IF($K271=E$8,1+IF(OFFSET(E271,-1,0)="",0,OFFSET(E271,-1,0)),IF(E$8&lt;$K271,IF(OFFSET(E271,-1,0)="","ERR",OFFSET(E271,-1,0)),""))</f>
        <v/>
      </c>
      <c r="F271" s="11">
        <f>IF($K271=F$8,1+IF(OFFSET(F271,-1,0)="",0,OFFSET(F271,-1,0)),IF(F$8&lt;$K271,IF(OFFSET(F271,-1,0)="","ERR",OFFSET(F271,-1,0)),""))</f>
        <v/>
      </c>
      <c r="G271" s="11">
        <f>IF($K271=G$8,1+IF(OFFSET(G271,-1,0)="",0,OFFSET(G271,-1,0)),IF(G$8&lt;$K271,IF(OFFSET(G271,-1,0)="","ERR",OFFSET(G271,-1,0)),""))</f>
        <v/>
      </c>
      <c r="H271" s="11">
        <f>IF($K271=H$8,1+IF(OFFSET(H271,-1,0)="",0,OFFSET(H271,-1,0)),IF(H$8&lt;$K271,IF(OFFSET(H271,-1,0)="","ERR",OFFSET(H271,-1,0)),""))</f>
        <v/>
      </c>
      <c r="I271" s="11">
        <f>IF($K271=I$8,1+IF(OFFSET(I271,-1,0)="",0,OFFSET(I271,-1,0)),IF(I$8&lt;$K271,IF(OFFSET(I271,-1,0)="","ERR",OFFSET(I271,-1,0)),""))</f>
        <v/>
      </c>
      <c r="J271" s="46">
        <f>_xlfn.TEXTJOIN(".",1,B271:I271)</f>
        <v/>
      </c>
      <c r="K271" s="46" t="inlineStr">
        <is>
          <t>Л6</t>
        </is>
      </c>
      <c r="L271" s="46" t="inlineStr">
        <is>
          <t>3.3.3.10.4.1</t>
        </is>
      </c>
      <c r="M271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71" s="46" t="inlineStr">
        <is>
          <t>пог. м</t>
        </is>
      </c>
      <c r="O271" s="94">
        <f>P271+Q271+S271+V271</f>
        <v/>
      </c>
      <c r="P271" s="46" t="n"/>
      <c r="Q271" s="46" t="n"/>
      <c r="R271" s="46" t="n"/>
      <c r="S271" s="46" t="n">
        <v>15</v>
      </c>
      <c r="T271" s="46" t="n">
        <v>15</v>
      </c>
      <c r="U271" s="46" t="n">
        <v>15</v>
      </c>
      <c r="V271" s="46" t="n">
        <v>15</v>
      </c>
      <c r="W271" s="46" t="n"/>
      <c r="X271" s="46" t="n"/>
      <c r="Y271" s="46" t="n"/>
      <c r="Z271" s="46" t="n"/>
      <c r="AA271" s="48" t="n"/>
      <c r="AB271" s="179" t="n"/>
      <c r="AC271" s="180" t="n">
        <v>52</v>
      </c>
      <c r="AD271" s="189">
        <f>SUM(AB271:AC271)</f>
        <v/>
      </c>
      <c r="AE271" s="189">
        <f>AB271*$O271</f>
        <v/>
      </c>
      <c r="AF271" s="189">
        <f>AC271*$O271</f>
        <v/>
      </c>
      <c r="AG271" s="189">
        <f>SUM(AE271:AF271)</f>
        <v/>
      </c>
      <c r="AH271" s="182" t="n"/>
    </row>
    <row r="272" ht="25.5" customHeight="1">
      <c r="A272" s="18" t="n"/>
      <c r="B272" s="11">
        <f>IF($K272=B$8,1+IF(OFFSET(B272,-1,0)="",0,OFFSET(B272,-1,0)),IF(B$8&lt;$K272,IF(OFFSET(B272,-1,0)="","ERR",OFFSET(B272,-1,0)),""))</f>
        <v/>
      </c>
      <c r="C272" s="11">
        <f>IF($K272=C$8,1+IF(OFFSET(C272,-1,0)="",0,OFFSET(C272,-1,0)),IF(C$8&lt;$K272,IF(OFFSET(C272,-1,0)="","ERR",OFFSET(C272,-1,0)),""))</f>
        <v/>
      </c>
      <c r="D272" s="11">
        <f>IF($K272=D$8,1+IF(OFFSET(D272,-1,0)="",0,OFFSET(D272,-1,0)),IF(D$8&lt;$K272,IF(OFFSET(D272,-1,0)="","ERR",OFFSET(D272,-1,0)),""))</f>
        <v/>
      </c>
      <c r="E272" s="11">
        <f>IF($K272=E$8,1+IF(OFFSET(E272,-1,0)="",0,OFFSET(E272,-1,0)),IF(E$8&lt;$K272,IF(OFFSET(E272,-1,0)="","ERR",OFFSET(E272,-1,0)),""))</f>
        <v/>
      </c>
      <c r="F272" s="11">
        <f>IF($K272=F$8,1+IF(OFFSET(F272,-1,0)="",0,OFFSET(F272,-1,0)),IF(F$8&lt;$K272,IF(OFFSET(F272,-1,0)="","ERR",OFFSET(F272,-1,0)),""))</f>
        <v/>
      </c>
      <c r="G272" s="11">
        <f>IF($K272=G$8,1+IF(OFFSET(G272,-1,0)="",0,OFFSET(G272,-1,0)),IF(G$8&lt;$K272,IF(OFFSET(G272,-1,0)="","ERR",OFFSET(G272,-1,0)),""))</f>
        <v/>
      </c>
      <c r="H272" s="11">
        <f>IF($K272=H$8,1+IF(OFFSET(H272,-1,0)="",0,OFFSET(H272,-1,0)),IF(H$8&lt;$K272,IF(OFFSET(H272,-1,0)="","ERR",OFFSET(H272,-1,0)),""))</f>
        <v/>
      </c>
      <c r="I272" s="11">
        <f>IF($K272=I$8,1+IF(OFFSET(I272,-1,0)="",0,OFFSET(I272,-1,0)),IF(I$8&lt;$K272,IF(OFFSET(I272,-1,0)="","ERR",OFFSET(I272,-1,0)),""))</f>
        <v/>
      </c>
      <c r="J272" s="40">
        <f>_xlfn.TEXTJOIN(".",1,B272:I272)</f>
        <v/>
      </c>
      <c r="K272" s="40" t="inlineStr">
        <is>
          <t>Л4</t>
        </is>
      </c>
      <c r="L272" s="40" t="inlineStr">
        <is>
          <t>3.3.3.12</t>
        </is>
      </c>
      <c r="M272" s="41" t="inlineStr">
        <is>
          <t>СКУД, СОВ: Система контроля и управления доступом, система охраны входов в здание</t>
        </is>
      </c>
      <c r="N272" s="40" t="n"/>
      <c r="O272" s="92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2" t="inlineStr">
        <is>
          <t>ПТ-082022-23-Р-СКУД0, СОВ0</t>
        </is>
      </c>
      <c r="AB272" s="194" t="n"/>
      <c r="AC272" s="184" t="n"/>
      <c r="AD272" s="184" t="n"/>
      <c r="AE272" s="184" t="n"/>
      <c r="AF272" s="184" t="n"/>
      <c r="AG272" s="184" t="n"/>
      <c r="AH272" s="175" t="n"/>
    </row>
    <row r="273" outlineLevel="1">
      <c r="A273" s="18" t="n"/>
      <c r="B273" s="11">
        <f>IF($K273=B$8,1+IF(OFFSET(B273,-1,0)="",0,OFFSET(B273,-1,0)),IF(B$8&lt;$K273,IF(OFFSET(B273,-1,0)="","ERR",OFFSET(B273,-1,0)),""))</f>
        <v/>
      </c>
      <c r="C273" s="11">
        <f>IF($K273=C$8,1+IF(OFFSET(C273,-1,0)="",0,OFFSET(C273,-1,0)),IF(C$8&lt;$K273,IF(OFFSET(C273,-1,0)="","ERR",OFFSET(C273,-1,0)),""))</f>
        <v/>
      </c>
      <c r="D273" s="11">
        <f>IF($K273=D$8,1+IF(OFFSET(D273,-1,0)="",0,OFFSET(D273,-1,0)),IF(D$8&lt;$K273,IF(OFFSET(D273,-1,0)="","ERR",OFFSET(D273,-1,0)),""))</f>
        <v/>
      </c>
      <c r="E273" s="11">
        <f>IF($K273=E$8,1+IF(OFFSET(E273,-1,0)="",0,OFFSET(E273,-1,0)),IF(E$8&lt;$K273,IF(OFFSET(E273,-1,0)="","ERR",OFFSET(E273,-1,0)),""))</f>
        <v/>
      </c>
      <c r="F273" s="11">
        <f>IF($K273=F$8,1+IF(OFFSET(F273,-1,0)="",0,OFFSET(F273,-1,0)),IF(F$8&lt;$K273,IF(OFFSET(F273,-1,0)="","ERR",OFFSET(F273,-1,0)),""))</f>
        <v/>
      </c>
      <c r="G273" s="11">
        <f>IF($K273=G$8,1+IF(OFFSET(G273,-1,0)="",0,OFFSET(G273,-1,0)),IF(G$8&lt;$K273,IF(OFFSET(G273,-1,0)="","ERR",OFFSET(G273,-1,0)),""))</f>
        <v/>
      </c>
      <c r="H273" s="11">
        <f>IF($K273=H$8,1+IF(OFFSET(H273,-1,0)="",0,OFFSET(H273,-1,0)),IF(H$8&lt;$K273,IF(OFFSET(H273,-1,0)="","ERR",OFFSET(H273,-1,0)),""))</f>
        <v/>
      </c>
      <c r="I273" s="11">
        <f>IF($K273=I$8,1+IF(OFFSET(I273,-1,0)="",0,OFFSET(I273,-1,0)),IF(I$8&lt;$K273,IF(OFFSET(I273,-1,0)="","ERR",OFFSET(I273,-1,0)),""))</f>
        <v/>
      </c>
      <c r="J273" s="43">
        <f>_xlfn.TEXTJOIN(".",1,B273:I273)</f>
        <v/>
      </c>
      <c r="K273" s="43" t="inlineStr">
        <is>
          <t>Л5</t>
        </is>
      </c>
      <c r="L273" s="43" t="inlineStr">
        <is>
          <t>3.3.3.12.2</t>
        </is>
      </c>
      <c r="M273" s="44" t="inlineStr">
        <is>
          <t>Оборудование и приборы</t>
        </is>
      </c>
      <c r="N273" s="43" t="n"/>
      <c r="O273" s="9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5" t="n"/>
      <c r="AB273" s="196" t="n"/>
      <c r="AC273" s="189" t="n"/>
      <c r="AD273" s="189" t="n"/>
      <c r="AE273" s="189" t="n"/>
      <c r="AF273" s="189" t="n"/>
      <c r="AG273" s="189" t="n"/>
      <c r="AH273" s="193" t="n"/>
    </row>
    <row r="274" outlineLevel="1" ht="25.5" customHeight="1">
      <c r="A274" s="18" t="inlineStr">
        <is>
          <t>О</t>
        </is>
      </c>
      <c r="B274" s="11">
        <f>IF($K274=B$8,1+IF(OFFSET(B274,-1,0)="",0,OFFSET(B274,-1,0)),IF(B$8&lt;$K274,IF(OFFSET(B274,-1,0)="","ERR",OFFSET(B274,-1,0)),""))</f>
        <v/>
      </c>
      <c r="C274" s="11">
        <f>IF($K274=C$8,1+IF(OFFSET(C274,-1,0)="",0,OFFSET(C274,-1,0)),IF(C$8&lt;$K274,IF(OFFSET(C274,-1,0)="","ERR",OFFSET(C274,-1,0)),""))</f>
        <v/>
      </c>
      <c r="D274" s="11">
        <f>IF($K274=D$8,1+IF(OFFSET(D274,-1,0)="",0,OFFSET(D274,-1,0)),IF(D$8&lt;$K274,IF(OFFSET(D274,-1,0)="","ERR",OFFSET(D274,-1,0)),""))</f>
        <v/>
      </c>
      <c r="E274" s="11">
        <f>IF($K274=E$8,1+IF(OFFSET(E274,-1,0)="",0,OFFSET(E274,-1,0)),IF(E$8&lt;$K274,IF(OFFSET(E274,-1,0)="","ERR",OFFSET(E274,-1,0)),""))</f>
        <v/>
      </c>
      <c r="F274" s="11">
        <f>IF($K274=F$8,1+IF(OFFSET(F274,-1,0)="",0,OFFSET(F274,-1,0)),IF(F$8&lt;$K274,IF(OFFSET(F274,-1,0)="","ERR",OFFSET(F274,-1,0)),""))</f>
        <v/>
      </c>
      <c r="G274" s="11">
        <f>IF($K274=G$8,1+IF(OFFSET(G274,-1,0)="",0,OFFSET(G274,-1,0)),IF(G$8&lt;$K274,IF(OFFSET(G274,-1,0)="","ERR",OFFSET(G274,-1,0)),""))</f>
        <v/>
      </c>
      <c r="H274" s="11">
        <f>IF($K274=H$8,1+IF(OFFSET(H274,-1,0)="",0,OFFSET(H274,-1,0)),IF(H$8&lt;$K274,IF(OFFSET(H274,-1,0)="","ERR",OFFSET(H274,-1,0)),""))</f>
        <v/>
      </c>
      <c r="I274" s="11">
        <f>IF($K274=I$8,1+IF(OFFSET(I274,-1,0)="",0,OFFSET(I274,-1,0)),IF(I$8&lt;$K274,IF(OFFSET(I274,-1,0)="","ERR",OFFSET(I274,-1,0)),""))</f>
        <v/>
      </c>
      <c r="J274" s="46">
        <f>_xlfn.TEXTJOIN(".",1,B274:I274)</f>
        <v/>
      </c>
      <c r="K274" s="46" t="inlineStr">
        <is>
          <t>Л6</t>
        </is>
      </c>
      <c r="L274" s="46" t="inlineStr">
        <is>
          <t>3.3.3.12.2.1</t>
        </is>
      </c>
      <c r="M274" s="47" t="inlineStr">
        <is>
          <t>Монтаж считывателя бесконтактного для смарт-карт и брелоков доступа: Считыватель E-Smart EO1532, ESMART Reader Stone BLE (Deep Titanium), EO1532, ESMART</t>
        </is>
      </c>
      <c r="N274" s="46" t="inlineStr">
        <is>
          <t>шт</t>
        </is>
      </c>
      <c r="O274" s="94">
        <f>P274+Q274+S274+V274</f>
        <v/>
      </c>
      <c r="P274" s="46" t="n"/>
      <c r="Q274" s="46" t="n">
        <v>45</v>
      </c>
      <c r="R274" s="46" t="n">
        <v>45</v>
      </c>
      <c r="S274" s="46" t="n">
        <v>61</v>
      </c>
      <c r="T274" s="46" t="n">
        <v>61</v>
      </c>
      <c r="U274" s="46" t="n">
        <v>55</v>
      </c>
      <c r="V274" s="46" t="n">
        <v>55</v>
      </c>
      <c r="W274" s="46" t="n"/>
      <c r="X274" s="46" t="n"/>
      <c r="Y274" s="46" t="n"/>
      <c r="Z274" s="46" t="n"/>
      <c r="AA274" s="48" t="n"/>
      <c r="AB274" s="179" t="n"/>
      <c r="AC274" s="180" t="n"/>
      <c r="AD274" s="189">
        <f>SUM(AB274:AC274)</f>
        <v/>
      </c>
      <c r="AE274" s="189">
        <f>AB274*$O274</f>
        <v/>
      </c>
      <c r="AF274" s="189">
        <f>AC274*$O274</f>
        <v/>
      </c>
      <c r="AG274" s="189">
        <f>SUM(AE274:AF274)</f>
        <v/>
      </c>
      <c r="AH274" s="182" t="n"/>
    </row>
    <row r="275" outlineLevel="1" ht="25.5" customHeight="1">
      <c r="A275" s="18" t="inlineStr">
        <is>
          <t>О</t>
        </is>
      </c>
      <c r="B275" s="11">
        <f>IF($K275=B$8,1+IF(OFFSET(B275,-1,0)="",0,OFFSET(B275,-1,0)),IF(B$8&lt;$K275,IF(OFFSET(B275,-1,0)="","ERR",OFFSET(B275,-1,0)),""))</f>
        <v/>
      </c>
      <c r="C275" s="11">
        <f>IF($K275=C$8,1+IF(OFFSET(C275,-1,0)="",0,OFFSET(C275,-1,0)),IF(C$8&lt;$K275,IF(OFFSET(C275,-1,0)="","ERR",OFFSET(C275,-1,0)),""))</f>
        <v/>
      </c>
      <c r="D275" s="11">
        <f>IF($K275=D$8,1+IF(OFFSET(D275,-1,0)="",0,OFFSET(D275,-1,0)),IF(D$8&lt;$K275,IF(OFFSET(D275,-1,0)="","ERR",OFFSET(D275,-1,0)),""))</f>
        <v/>
      </c>
      <c r="E275" s="11">
        <f>IF($K275=E$8,1+IF(OFFSET(E275,-1,0)="",0,OFFSET(E275,-1,0)),IF(E$8&lt;$K275,IF(OFFSET(E275,-1,0)="","ERR",OFFSET(E275,-1,0)),""))</f>
        <v/>
      </c>
      <c r="F275" s="11">
        <f>IF($K275=F$8,1+IF(OFFSET(F275,-1,0)="",0,OFFSET(F275,-1,0)),IF(F$8&lt;$K275,IF(OFFSET(F275,-1,0)="","ERR",OFFSET(F275,-1,0)),""))</f>
        <v/>
      </c>
      <c r="G275" s="11">
        <f>IF($K275=G$8,1+IF(OFFSET(G275,-1,0)="",0,OFFSET(G275,-1,0)),IF(G$8&lt;$K275,IF(OFFSET(G275,-1,0)="","ERR",OFFSET(G275,-1,0)),""))</f>
        <v/>
      </c>
      <c r="H275" s="11">
        <f>IF($K275=H$8,1+IF(OFFSET(H275,-1,0)="",0,OFFSET(H275,-1,0)),IF(H$8&lt;$K275,IF(OFFSET(H275,-1,0)="","ERR",OFFSET(H275,-1,0)),""))</f>
        <v/>
      </c>
      <c r="I275" s="11">
        <f>IF($K275=I$8,1+IF(OFFSET(I275,-1,0)="",0,OFFSET(I275,-1,0)),IF(I$8&lt;$K275,IF(OFFSET(I275,-1,0)="","ERR",OFFSET(I275,-1,0)),""))</f>
        <v/>
      </c>
      <c r="J275" s="46">
        <f>_xlfn.TEXTJOIN(".",1,B275:I275)</f>
        <v/>
      </c>
      <c r="K275" s="46" t="inlineStr">
        <is>
          <t>Л6</t>
        </is>
      </c>
      <c r="L275" s="46" t="inlineStr">
        <is>
          <t>3.3.3.12.2.1</t>
        </is>
      </c>
      <c r="M275" s="47" t="inlineStr">
        <is>
          <t>Монтаж считывателя бесконтактного для смарт-карт и брелоков доступа: Считыватель E-Smart ER1501 Silver Gray (опция при заказе: EO1529)., ESMART</t>
        </is>
      </c>
      <c r="N275" s="46" t="inlineStr">
        <is>
          <t>шт</t>
        </is>
      </c>
      <c r="O275" s="94">
        <f>P275+Q275+S275+V275</f>
        <v/>
      </c>
      <c r="P275" s="46" t="n"/>
      <c r="Q275" s="46" t="n"/>
      <c r="R275" s="46" t="n"/>
      <c r="S275" s="46" t="n">
        <v>3</v>
      </c>
      <c r="T275" s="46" t="n">
        <v>3</v>
      </c>
      <c r="U275" s="46" t="n">
        <v>2</v>
      </c>
      <c r="V275" s="46" t="n">
        <v>2</v>
      </c>
      <c r="W275" s="46" t="n"/>
      <c r="X275" s="46" t="n"/>
      <c r="Y275" s="46" t="n"/>
      <c r="Z275" s="46" t="n"/>
      <c r="AA275" s="48" t="n"/>
      <c r="AB275" s="179" t="n"/>
      <c r="AC275" s="180" t="n"/>
      <c r="AD275" s="189">
        <f>SUM(AB275:AC275)</f>
        <v/>
      </c>
      <c r="AE275" s="189">
        <f>AB275*$O275</f>
        <v/>
      </c>
      <c r="AF275" s="189">
        <f>AC275*$O275</f>
        <v/>
      </c>
      <c r="AG275" s="189">
        <f>SUM(AE275:AF275)</f>
        <v/>
      </c>
      <c r="AH275" s="182" t="n"/>
    </row>
    <row r="276" outlineLevel="1">
      <c r="A276" s="18" t="inlineStr">
        <is>
          <t>О</t>
        </is>
      </c>
      <c r="B276" s="11">
        <f>IF($K276=B$8,1+IF(OFFSET(B276,-1,0)="",0,OFFSET(B276,-1,0)),IF(B$8&lt;$K276,IF(OFFSET(B276,-1,0)="","ERR",OFFSET(B276,-1,0)),""))</f>
        <v/>
      </c>
      <c r="C276" s="11">
        <f>IF($K276=C$8,1+IF(OFFSET(C276,-1,0)="",0,OFFSET(C276,-1,0)),IF(C$8&lt;$K276,IF(OFFSET(C276,-1,0)="","ERR",OFFSET(C276,-1,0)),""))</f>
        <v/>
      </c>
      <c r="D276" s="11">
        <f>IF($K276=D$8,1+IF(OFFSET(D276,-1,0)="",0,OFFSET(D276,-1,0)),IF(D$8&lt;$K276,IF(OFFSET(D276,-1,0)="","ERR",OFFSET(D276,-1,0)),""))</f>
        <v/>
      </c>
      <c r="E276" s="11">
        <f>IF($K276=E$8,1+IF(OFFSET(E276,-1,0)="",0,OFFSET(E276,-1,0)),IF(E$8&lt;$K276,IF(OFFSET(E276,-1,0)="","ERR",OFFSET(E276,-1,0)),""))</f>
        <v/>
      </c>
      <c r="F276" s="11">
        <f>IF($K276=F$8,1+IF(OFFSET(F276,-1,0)="",0,OFFSET(F276,-1,0)),IF(F$8&lt;$K276,IF(OFFSET(F276,-1,0)="","ERR",OFFSET(F276,-1,0)),""))</f>
        <v/>
      </c>
      <c r="G276" s="11">
        <f>IF($K276=G$8,1+IF(OFFSET(G276,-1,0)="",0,OFFSET(G276,-1,0)),IF(G$8&lt;$K276,IF(OFFSET(G276,-1,0)="","ERR",OFFSET(G276,-1,0)),""))</f>
        <v/>
      </c>
      <c r="H276" s="11">
        <f>IF($K276=H$8,1+IF(OFFSET(H276,-1,0)="",0,OFFSET(H276,-1,0)),IF(H$8&lt;$K276,IF(OFFSET(H276,-1,0)="","ERR",OFFSET(H276,-1,0)),""))</f>
        <v/>
      </c>
      <c r="I276" s="11">
        <f>IF($K276=I$8,1+IF(OFFSET(I276,-1,0)="",0,OFFSET(I276,-1,0)),IF(I$8&lt;$K276,IF(OFFSET(I276,-1,0)="","ERR",OFFSET(I276,-1,0)),""))</f>
        <v/>
      </c>
      <c r="J276" s="46">
        <f>_xlfn.TEXTJOIN(".",1,B276:I276)</f>
        <v/>
      </c>
      <c r="K276" s="46" t="inlineStr">
        <is>
          <t>Л6</t>
        </is>
      </c>
      <c r="L276" s="46" t="inlineStr">
        <is>
          <t>3.3.3.12.2.3</t>
        </is>
      </c>
      <c r="M276" s="47" t="inlineStr">
        <is>
          <t>Монтаж кнопки "Выход": Кнопка "Выход" , ACCORDTEC AT-H810P, ACCORDTEC</t>
        </is>
      </c>
      <c r="N276" s="46" t="inlineStr">
        <is>
          <t>шт</t>
        </is>
      </c>
      <c r="O276" s="94">
        <f>P276+Q276+S276+V276</f>
        <v/>
      </c>
      <c r="P276" s="46" t="n"/>
      <c r="Q276" s="46">
        <f>3+35</f>
        <v/>
      </c>
      <c r="R276" s="46">
        <f>3+35</f>
        <v/>
      </c>
      <c r="S276" s="46">
        <f>4+41</f>
        <v/>
      </c>
      <c r="T276" s="46">
        <f>4+41</f>
        <v/>
      </c>
      <c r="U276" s="46">
        <f>4+35</f>
        <v/>
      </c>
      <c r="V276" s="46">
        <f>4+35</f>
        <v/>
      </c>
      <c r="W276" s="46" t="n"/>
      <c r="X276" s="46" t="n"/>
      <c r="Y276" s="46" t="n"/>
      <c r="Z276" s="46" t="n"/>
      <c r="AA276" s="48" t="n"/>
      <c r="AB276" s="179" t="n"/>
      <c r="AC276" s="180" t="n"/>
      <c r="AD276" s="189">
        <f>SUM(AB276:AC276)</f>
        <v/>
      </c>
      <c r="AE276" s="189">
        <f>AB276*$O276</f>
        <v/>
      </c>
      <c r="AF276" s="189">
        <f>AC276*$O276</f>
        <v/>
      </c>
      <c r="AG276" s="189">
        <f>SUM(AE276:AF276)</f>
        <v/>
      </c>
      <c r="AH276" s="182" t="n"/>
    </row>
    <row r="277" outlineLevel="1">
      <c r="A277" s="18" t="inlineStr">
        <is>
          <t>О</t>
        </is>
      </c>
      <c r="B277" s="11">
        <f>IF($K277=B$8,1+IF(OFFSET(B277,-1,0)="",0,OFFSET(B277,-1,0)),IF(B$8&lt;$K277,IF(OFFSET(B277,-1,0)="","ERR",OFFSET(B277,-1,0)),""))</f>
        <v/>
      </c>
      <c r="C277" s="11">
        <f>IF($K277=C$8,1+IF(OFFSET(C277,-1,0)="",0,OFFSET(C277,-1,0)),IF(C$8&lt;$K277,IF(OFFSET(C277,-1,0)="","ERR",OFFSET(C277,-1,0)),""))</f>
        <v/>
      </c>
      <c r="D277" s="11">
        <f>IF($K277=D$8,1+IF(OFFSET(D277,-1,0)="",0,OFFSET(D277,-1,0)),IF(D$8&lt;$K277,IF(OFFSET(D277,-1,0)="","ERR",OFFSET(D277,-1,0)),""))</f>
        <v/>
      </c>
      <c r="E277" s="11">
        <f>IF($K277=E$8,1+IF(OFFSET(E277,-1,0)="",0,OFFSET(E277,-1,0)),IF(E$8&lt;$K277,IF(OFFSET(E277,-1,0)="","ERR",OFFSET(E277,-1,0)),""))</f>
        <v/>
      </c>
      <c r="F277" s="11">
        <f>IF($K277=F$8,1+IF(OFFSET(F277,-1,0)="",0,OFFSET(F277,-1,0)),IF(F$8&lt;$K277,IF(OFFSET(F277,-1,0)="","ERR",OFFSET(F277,-1,0)),""))</f>
        <v/>
      </c>
      <c r="G277" s="11">
        <f>IF($K277=G$8,1+IF(OFFSET(G277,-1,0)="",0,OFFSET(G277,-1,0)),IF(G$8&lt;$K277,IF(OFFSET(G277,-1,0)="","ERR",OFFSET(G277,-1,0)),""))</f>
        <v/>
      </c>
      <c r="H277" s="11">
        <f>IF($K277=H$8,1+IF(OFFSET(H277,-1,0)="",0,OFFSET(H277,-1,0)),IF(H$8&lt;$K277,IF(OFFSET(H277,-1,0)="","ERR",OFFSET(H277,-1,0)),""))</f>
        <v/>
      </c>
      <c r="I277" s="11">
        <f>IF($K277=I$8,1+IF(OFFSET(I277,-1,0)="",0,OFFSET(I277,-1,0)),IF(I$8&lt;$K277,IF(OFFSET(I277,-1,0)="","ERR",OFFSET(I277,-1,0)),""))</f>
        <v/>
      </c>
      <c r="J277" s="46">
        <f>_xlfn.TEXTJOIN(".",1,B277:I277)</f>
        <v/>
      </c>
      <c r="K277" s="46" t="inlineStr">
        <is>
          <t>Л6</t>
        </is>
      </c>
      <c r="L277" s="46" t="inlineStr">
        <is>
          <t>3.3.3.12.2.3</t>
        </is>
      </c>
      <c r="M277" s="47" t="inlineStr">
        <is>
          <t>Монтаж кнопки "Выход": Кнопка "Выход", BAS IP SH-45TR, BAS IP</t>
        </is>
      </c>
      <c r="N277" s="46" t="inlineStr">
        <is>
          <t>шт</t>
        </is>
      </c>
      <c r="O277" s="94">
        <f>P277+Q277+S277+V277</f>
        <v/>
      </c>
      <c r="P277" s="46" t="n"/>
      <c r="Q277" s="46" t="n"/>
      <c r="R277" s="46" t="n"/>
      <c r="S277" s="46" t="n">
        <v>3</v>
      </c>
      <c r="T277" s="46" t="n">
        <v>3</v>
      </c>
      <c r="U277" s="46" t="n">
        <v>2</v>
      </c>
      <c r="V277" s="46" t="n">
        <v>2</v>
      </c>
      <c r="W277" s="46" t="n"/>
      <c r="X277" s="46" t="n"/>
      <c r="Y277" s="46" t="n"/>
      <c r="Z277" s="46" t="n"/>
      <c r="AA277" s="48" t="n"/>
      <c r="AB277" s="179" t="n"/>
      <c r="AC277" s="180" t="n"/>
      <c r="AD277" s="189">
        <f>SUM(AB277:AC277)</f>
        <v/>
      </c>
      <c r="AE277" s="189">
        <f>AB277*$O277</f>
        <v/>
      </c>
      <c r="AF277" s="189">
        <f>AC277*$O277</f>
        <v/>
      </c>
      <c r="AG277" s="189">
        <f>SUM(AE277:AF277)</f>
        <v/>
      </c>
      <c r="AH277" s="182" t="n"/>
    </row>
    <row r="278" outlineLevel="1" ht="25.5" customHeight="1">
      <c r="A278" s="18" t="inlineStr">
        <is>
          <t>О</t>
        </is>
      </c>
      <c r="B278" s="11">
        <f>IF($K278=B$8,1+IF(OFFSET(B278,-1,0)="",0,OFFSET(B278,-1,0)),IF(B$8&lt;$K278,IF(OFFSET(B278,-1,0)="","ERR",OFFSET(B278,-1,0)),""))</f>
        <v/>
      </c>
      <c r="C278" s="11">
        <f>IF($K278=C$8,1+IF(OFFSET(C278,-1,0)="",0,OFFSET(C278,-1,0)),IF(C$8&lt;$K278,IF(OFFSET(C278,-1,0)="","ERR",OFFSET(C278,-1,0)),""))</f>
        <v/>
      </c>
      <c r="D278" s="11">
        <f>IF($K278=D$8,1+IF(OFFSET(D278,-1,0)="",0,OFFSET(D278,-1,0)),IF(D$8&lt;$K278,IF(OFFSET(D278,-1,0)="","ERR",OFFSET(D278,-1,0)),""))</f>
        <v/>
      </c>
      <c r="E278" s="11">
        <f>IF($K278=E$8,1+IF(OFFSET(E278,-1,0)="",0,OFFSET(E278,-1,0)),IF(E$8&lt;$K278,IF(OFFSET(E278,-1,0)="","ERR",OFFSET(E278,-1,0)),""))</f>
        <v/>
      </c>
      <c r="F278" s="11">
        <f>IF($K278=F$8,1+IF(OFFSET(F278,-1,0)="",0,OFFSET(F278,-1,0)),IF(F$8&lt;$K278,IF(OFFSET(F278,-1,0)="","ERR",OFFSET(F278,-1,0)),""))</f>
        <v/>
      </c>
      <c r="G278" s="11">
        <f>IF($K278=G$8,1+IF(OFFSET(G278,-1,0)="",0,OFFSET(G278,-1,0)),IF(G$8&lt;$K278,IF(OFFSET(G278,-1,0)="","ERR",OFFSET(G278,-1,0)),""))</f>
        <v/>
      </c>
      <c r="H278" s="11">
        <f>IF($K278=H$8,1+IF(OFFSET(H278,-1,0)="",0,OFFSET(H278,-1,0)),IF(H$8&lt;$K278,IF(OFFSET(H278,-1,0)="","ERR",OFFSET(H278,-1,0)),""))</f>
        <v/>
      </c>
      <c r="I278" s="11">
        <f>IF($K278=I$8,1+IF(OFFSET(I278,-1,0)="",0,OFFSET(I278,-1,0)),IF(I$8&lt;$K278,IF(OFFSET(I278,-1,0)="","ERR",OFFSET(I278,-1,0)),""))</f>
        <v/>
      </c>
      <c r="J278" s="46">
        <f>_xlfn.TEXTJOIN(".",1,B278:I278)</f>
        <v/>
      </c>
      <c r="K278" s="46" t="inlineStr">
        <is>
          <t>Л6</t>
        </is>
      </c>
      <c r="L278" s="46" t="inlineStr">
        <is>
          <t>3.3.3.12.2.4</t>
        </is>
      </c>
      <c r="M278" s="47" t="inlineStr">
        <is>
          <t>Монтаж кнопки аварийной разблокировки двери: Кнопка аварийного выхода (зеленая),  УДП4A-G000SF-S214-01, Систем Сенсор</t>
        </is>
      </c>
      <c r="N278" s="46" t="inlineStr">
        <is>
          <t>шт</t>
        </is>
      </c>
      <c r="O278" s="94">
        <f>P278+Q278+S278+V278</f>
        <v/>
      </c>
      <c r="P278" s="46" t="n"/>
      <c r="Q278" s="46">
        <f>3+40</f>
        <v/>
      </c>
      <c r="R278" s="46">
        <f>3+40</f>
        <v/>
      </c>
      <c r="S278" s="46">
        <f>4+53</f>
        <v/>
      </c>
      <c r="T278" s="46">
        <f>4+53</f>
        <v/>
      </c>
      <c r="U278" s="46">
        <f>4+47</f>
        <v/>
      </c>
      <c r="V278" s="46">
        <f>4+47</f>
        <v/>
      </c>
      <c r="W278" s="46" t="n"/>
      <c r="X278" s="46" t="n"/>
      <c r="Y278" s="46" t="n"/>
      <c r="Z278" s="46" t="n"/>
      <c r="AA278" s="48" t="n"/>
      <c r="AB278" s="179" t="n"/>
      <c r="AC278" s="180" t="n"/>
      <c r="AD278" s="189">
        <f>SUM(AB278:AC278)</f>
        <v/>
      </c>
      <c r="AE278" s="189">
        <f>AB278*$O278</f>
        <v/>
      </c>
      <c r="AF278" s="189">
        <f>AC278*$O278</f>
        <v/>
      </c>
      <c r="AG278" s="189">
        <f>SUM(AE278:AF278)</f>
        <v/>
      </c>
      <c r="AH278" s="182" t="n"/>
    </row>
    <row r="279" outlineLevel="1" ht="25.5" customHeight="1">
      <c r="A279" s="18" t="inlineStr">
        <is>
          <t>О</t>
        </is>
      </c>
      <c r="B279" s="11">
        <f>IF($K279=B$8,1+IF(OFFSET(B279,-1,0)="",0,OFFSET(B279,-1,0)),IF(B$8&lt;$K279,IF(OFFSET(B279,-1,0)="","ERR",OFFSET(B279,-1,0)),""))</f>
        <v/>
      </c>
      <c r="C279" s="11">
        <f>IF($K279=C$8,1+IF(OFFSET(C279,-1,0)="",0,OFFSET(C279,-1,0)),IF(C$8&lt;$K279,IF(OFFSET(C279,-1,0)="","ERR",OFFSET(C279,-1,0)),""))</f>
        <v/>
      </c>
      <c r="D279" s="11">
        <f>IF($K279=D$8,1+IF(OFFSET(D279,-1,0)="",0,OFFSET(D279,-1,0)),IF(D$8&lt;$K279,IF(OFFSET(D279,-1,0)="","ERR",OFFSET(D279,-1,0)),""))</f>
        <v/>
      </c>
      <c r="E279" s="11">
        <f>IF($K279=E$8,1+IF(OFFSET(E279,-1,0)="",0,OFFSET(E279,-1,0)),IF(E$8&lt;$K279,IF(OFFSET(E279,-1,0)="","ERR",OFFSET(E279,-1,0)),""))</f>
        <v/>
      </c>
      <c r="F279" s="11">
        <f>IF($K279=F$8,1+IF(OFFSET(F279,-1,0)="",0,OFFSET(F279,-1,0)),IF(F$8&lt;$K279,IF(OFFSET(F279,-1,0)="","ERR",OFFSET(F279,-1,0)),""))</f>
        <v/>
      </c>
      <c r="G279" s="11">
        <f>IF($K279=G$8,1+IF(OFFSET(G279,-1,0)="",0,OFFSET(G279,-1,0)),IF(G$8&lt;$K279,IF(OFFSET(G279,-1,0)="","ERR",OFFSET(G279,-1,0)),""))</f>
        <v/>
      </c>
      <c r="H279" s="11">
        <f>IF($K279=H$8,1+IF(OFFSET(H279,-1,0)="",0,OFFSET(H279,-1,0)),IF(H$8&lt;$K279,IF(OFFSET(H279,-1,0)="","ERR",OFFSET(H279,-1,0)),""))</f>
        <v/>
      </c>
      <c r="I279" s="11">
        <f>IF($K279=I$8,1+IF(OFFSET(I279,-1,0)="",0,OFFSET(I279,-1,0)),IF(I$8&lt;$K279,IF(OFFSET(I279,-1,0)="","ERR",OFFSET(I279,-1,0)),""))</f>
        <v/>
      </c>
      <c r="J279" s="46">
        <f>_xlfn.TEXTJOIN(".",1,B279:I279)</f>
        <v/>
      </c>
      <c r="K279" s="46" t="inlineStr">
        <is>
          <t>Л6</t>
        </is>
      </c>
      <c r="L279" s="46" t="inlineStr">
        <is>
          <t>3.3.3.12.2.5</t>
        </is>
      </c>
      <c r="M279" s="47" t="inlineStr">
        <is>
          <t>Монтаж магнитоконтактного извещателя скрытой установки врезного: Извещатель магнитоконтактный, ST-DM030NC-WT, SMARTEC</t>
        </is>
      </c>
      <c r="N279" s="46" t="inlineStr">
        <is>
          <t>шт</t>
        </is>
      </c>
      <c r="O279" s="94">
        <f>P279+Q279+S279+V279</f>
        <v/>
      </c>
      <c r="P279" s="46" t="n"/>
      <c r="Q279" s="46" t="n">
        <v>45</v>
      </c>
      <c r="R279" s="46" t="n">
        <v>45</v>
      </c>
      <c r="S279" s="46" t="n">
        <v>61</v>
      </c>
      <c r="T279" s="46" t="n">
        <v>61</v>
      </c>
      <c r="U279" s="46" t="n">
        <v>55</v>
      </c>
      <c r="V279" s="46" t="n">
        <v>55</v>
      </c>
      <c r="W279" s="46" t="n"/>
      <c r="X279" s="46" t="n"/>
      <c r="Y279" s="46" t="n"/>
      <c r="Z279" s="46" t="n"/>
      <c r="AA279" s="48" t="n"/>
      <c r="AB279" s="179" t="n"/>
      <c r="AC279" s="180" t="n"/>
      <c r="AD279" s="189">
        <f>SUM(AB279:AC279)</f>
        <v/>
      </c>
      <c r="AE279" s="189">
        <f>AB279*$O279</f>
        <v/>
      </c>
      <c r="AF279" s="189">
        <f>AC279*$O279</f>
        <v/>
      </c>
      <c r="AG279" s="189">
        <f>SUM(AE279:AF279)</f>
        <v/>
      </c>
      <c r="AH279" s="182" t="n"/>
    </row>
    <row r="280" outlineLevel="1">
      <c r="A280" s="18" t="inlineStr">
        <is>
          <t>О</t>
        </is>
      </c>
      <c r="B280" s="11">
        <f>IF($K280=B$8,1+IF(OFFSET(B280,-1,0)="",0,OFFSET(B280,-1,0)),IF(B$8&lt;$K280,IF(OFFSET(B280,-1,0)="","ERR",OFFSET(B280,-1,0)),""))</f>
        <v/>
      </c>
      <c r="C280" s="11">
        <f>IF($K280=C$8,1+IF(OFFSET(C280,-1,0)="",0,OFFSET(C280,-1,0)),IF(C$8&lt;$K280,IF(OFFSET(C280,-1,0)="","ERR",OFFSET(C280,-1,0)),""))</f>
        <v/>
      </c>
      <c r="D280" s="11">
        <f>IF($K280=D$8,1+IF(OFFSET(D280,-1,0)="",0,OFFSET(D280,-1,0)),IF(D$8&lt;$K280,IF(OFFSET(D280,-1,0)="","ERR",OFFSET(D280,-1,0)),""))</f>
        <v/>
      </c>
      <c r="E280" s="11">
        <f>IF($K280=E$8,1+IF(OFFSET(E280,-1,0)="",0,OFFSET(E280,-1,0)),IF(E$8&lt;$K280,IF(OFFSET(E280,-1,0)="","ERR",OFFSET(E280,-1,0)),""))</f>
        <v/>
      </c>
      <c r="F280" s="11">
        <f>IF($K280=F$8,1+IF(OFFSET(F280,-1,0)="",0,OFFSET(F280,-1,0)),IF(F$8&lt;$K280,IF(OFFSET(F280,-1,0)="","ERR",OFFSET(F280,-1,0)),""))</f>
        <v/>
      </c>
      <c r="G280" s="11">
        <f>IF($K280=G$8,1+IF(OFFSET(G280,-1,0)="",0,OFFSET(G280,-1,0)),IF(G$8&lt;$K280,IF(OFFSET(G280,-1,0)="","ERR",OFFSET(G280,-1,0)),""))</f>
        <v/>
      </c>
      <c r="H280" s="11">
        <f>IF($K280=H$8,1+IF(OFFSET(H280,-1,0)="",0,OFFSET(H280,-1,0)),IF(H$8&lt;$K280,IF(OFFSET(H280,-1,0)="","ERR",OFFSET(H280,-1,0)),""))</f>
        <v/>
      </c>
      <c r="I280" s="11">
        <f>IF($K280=I$8,1+IF(OFFSET(I280,-1,0)="",0,OFFSET(I280,-1,0)),IF(I$8&lt;$K280,IF(OFFSET(I280,-1,0)="","ERR",OFFSET(I280,-1,0)),""))</f>
        <v/>
      </c>
      <c r="J280" s="46">
        <f>_xlfn.TEXTJOIN(".",1,B280:I280)</f>
        <v/>
      </c>
      <c r="K280" s="46" t="inlineStr">
        <is>
          <t>Л6</t>
        </is>
      </c>
      <c r="L280" s="46" t="inlineStr">
        <is>
          <t>3.3.3.12.2.11</t>
        </is>
      </c>
      <c r="M280" s="47" t="inlineStr">
        <is>
          <t>Монтаж источника питания: Блок питания (12В, 2.5А), UPS-DP/F., BAS-IP</t>
        </is>
      </c>
      <c r="N280" s="46" t="inlineStr">
        <is>
          <t>шт</t>
        </is>
      </c>
      <c r="O280" s="94">
        <f>P280+Q280+S280+V280</f>
        <v/>
      </c>
      <c r="P280" s="46" t="n"/>
      <c r="Q280" s="46" t="n">
        <v>3</v>
      </c>
      <c r="R280" s="46" t="n">
        <v>3</v>
      </c>
      <c r="S280" s="46" t="n">
        <v>4</v>
      </c>
      <c r="T280" s="46" t="n">
        <v>4</v>
      </c>
      <c r="U280" s="46" t="n">
        <v>4</v>
      </c>
      <c r="V280" s="46" t="n">
        <v>4</v>
      </c>
      <c r="W280" s="46" t="n"/>
      <c r="X280" s="46" t="n"/>
      <c r="Y280" s="46" t="n"/>
      <c r="Z280" s="46" t="n"/>
      <c r="AA280" s="48" t="n"/>
      <c r="AB280" s="179" t="n"/>
      <c r="AC280" s="180" t="n"/>
      <c r="AD280" s="189">
        <f>SUM(AB280:AC280)</f>
        <v/>
      </c>
      <c r="AE280" s="189">
        <f>AB280*$O280</f>
        <v/>
      </c>
      <c r="AF280" s="189">
        <f>AC280*$O280</f>
        <v/>
      </c>
      <c r="AG280" s="189">
        <f>SUM(AE280:AF280)</f>
        <v/>
      </c>
      <c r="AH280" s="182" t="n"/>
    </row>
    <row r="281" outlineLevel="1">
      <c r="A281" s="18" t="inlineStr">
        <is>
          <t>О</t>
        </is>
      </c>
      <c r="B281" s="11">
        <f>IF($K281=B$8,1+IF(OFFSET(B281,-1,0)="",0,OFFSET(B281,-1,0)),IF(B$8&lt;$K281,IF(OFFSET(B281,-1,0)="","ERR",OFFSET(B281,-1,0)),""))</f>
        <v/>
      </c>
      <c r="C281" s="11">
        <f>IF($K281=C$8,1+IF(OFFSET(C281,-1,0)="",0,OFFSET(C281,-1,0)),IF(C$8&lt;$K281,IF(OFFSET(C281,-1,0)="","ERR",OFFSET(C281,-1,0)),""))</f>
        <v/>
      </c>
      <c r="D281" s="11">
        <f>IF($K281=D$8,1+IF(OFFSET(D281,-1,0)="",0,OFFSET(D281,-1,0)),IF(D$8&lt;$K281,IF(OFFSET(D281,-1,0)="","ERR",OFFSET(D281,-1,0)),""))</f>
        <v/>
      </c>
      <c r="E281" s="11">
        <f>IF($K281=E$8,1+IF(OFFSET(E281,-1,0)="",0,OFFSET(E281,-1,0)),IF(E$8&lt;$K281,IF(OFFSET(E281,-1,0)="","ERR",OFFSET(E281,-1,0)),""))</f>
        <v/>
      </c>
      <c r="F281" s="11">
        <f>IF($K281=F$8,1+IF(OFFSET(F281,-1,0)="",0,OFFSET(F281,-1,0)),IF(F$8&lt;$K281,IF(OFFSET(F281,-1,0)="","ERR",OFFSET(F281,-1,0)),""))</f>
        <v/>
      </c>
      <c r="G281" s="11">
        <f>IF($K281=G$8,1+IF(OFFSET(G281,-1,0)="",0,OFFSET(G281,-1,0)),IF(G$8&lt;$K281,IF(OFFSET(G281,-1,0)="","ERR",OFFSET(G281,-1,0)),""))</f>
        <v/>
      </c>
      <c r="H281" s="11">
        <f>IF($K281=H$8,1+IF(OFFSET(H281,-1,0)="",0,OFFSET(H281,-1,0)),IF(H$8&lt;$K281,IF(OFFSET(H281,-1,0)="","ERR",OFFSET(H281,-1,0)),""))</f>
        <v/>
      </c>
      <c r="I281" s="11">
        <f>IF($K281=I$8,1+IF(OFFSET(I281,-1,0)="",0,OFFSET(I281,-1,0)),IF(I$8&lt;$K281,IF(OFFSET(I281,-1,0)="","ERR",OFFSET(I281,-1,0)),""))</f>
        <v/>
      </c>
      <c r="J281" s="46">
        <f>_xlfn.TEXTJOIN(".",1,B281:I281)</f>
        <v/>
      </c>
      <c r="K281" s="46" t="inlineStr">
        <is>
          <t>Л6</t>
        </is>
      </c>
      <c r="L281" s="46" t="inlineStr">
        <is>
          <t>3.3.3.12.2.12</t>
        </is>
      </c>
      <c r="M281" s="47" t="inlineStr">
        <is>
          <t>Монтаж контроллера сетевого: Контроллер доступа, ACS-102-CE-BM, RUSGUARD</t>
        </is>
      </c>
      <c r="N281" s="46" t="inlineStr">
        <is>
          <t>шт</t>
        </is>
      </c>
      <c r="O281" s="94">
        <f>P281+Q281+S281+V281</f>
        <v/>
      </c>
      <c r="P281" s="46" t="n"/>
      <c r="Q281" s="46" t="n">
        <v>40</v>
      </c>
      <c r="R281" s="46" t="n">
        <v>40</v>
      </c>
      <c r="S281" s="46" t="n">
        <v>53</v>
      </c>
      <c r="T281" s="46" t="n">
        <v>53</v>
      </c>
      <c r="U281" s="46" t="n">
        <v>47</v>
      </c>
      <c r="V281" s="46" t="n">
        <v>47</v>
      </c>
      <c r="W281" s="46" t="n"/>
      <c r="X281" s="46" t="n"/>
      <c r="Y281" s="46" t="n"/>
      <c r="Z281" s="46" t="n"/>
      <c r="AA281" s="48" t="n"/>
      <c r="AB281" s="179" t="n"/>
      <c r="AC281" s="180" t="n"/>
      <c r="AD281" s="189">
        <f>SUM(AB281:AC281)</f>
        <v/>
      </c>
      <c r="AE281" s="189">
        <f>AB281*$O281</f>
        <v/>
      </c>
      <c r="AF281" s="189">
        <f>AC281*$O281</f>
        <v/>
      </c>
      <c r="AG281" s="189">
        <f>SUM(AE281:AF281)</f>
        <v/>
      </c>
      <c r="AH281" s="182" t="n"/>
    </row>
    <row r="282" outlineLevel="1">
      <c r="A282" s="18" t="inlineStr">
        <is>
          <t>О</t>
        </is>
      </c>
      <c r="B282" s="11">
        <f>IF($K282=B$8,1+IF(OFFSET(B282,-1,0)="",0,OFFSET(B282,-1,0)),IF(B$8&lt;$K282,IF(OFFSET(B282,-1,0)="","ERR",OFFSET(B282,-1,0)),""))</f>
        <v/>
      </c>
      <c r="C282" s="11">
        <f>IF($K282=C$8,1+IF(OFFSET(C282,-1,0)="",0,OFFSET(C282,-1,0)),IF(C$8&lt;$K282,IF(OFFSET(C282,-1,0)="","ERR",OFFSET(C282,-1,0)),""))</f>
        <v/>
      </c>
      <c r="D282" s="11">
        <f>IF($K282=D$8,1+IF(OFFSET(D282,-1,0)="",0,OFFSET(D282,-1,0)),IF(D$8&lt;$K282,IF(OFFSET(D282,-1,0)="","ERR",OFFSET(D282,-1,0)),""))</f>
        <v/>
      </c>
      <c r="E282" s="11">
        <f>IF($K282=E$8,1+IF(OFFSET(E282,-1,0)="",0,OFFSET(E282,-1,0)),IF(E$8&lt;$K282,IF(OFFSET(E282,-1,0)="","ERR",OFFSET(E282,-1,0)),""))</f>
        <v/>
      </c>
      <c r="F282" s="11">
        <f>IF($K282=F$8,1+IF(OFFSET(F282,-1,0)="",0,OFFSET(F282,-1,0)),IF(F$8&lt;$K282,IF(OFFSET(F282,-1,0)="","ERR",OFFSET(F282,-1,0)),""))</f>
        <v/>
      </c>
      <c r="G282" s="11">
        <f>IF($K282=G$8,1+IF(OFFSET(G282,-1,0)="",0,OFFSET(G282,-1,0)),IF(G$8&lt;$K282,IF(OFFSET(G282,-1,0)="","ERR",OFFSET(G282,-1,0)),""))</f>
        <v/>
      </c>
      <c r="H282" s="11">
        <f>IF($K282=H$8,1+IF(OFFSET(H282,-1,0)="",0,OFFSET(H282,-1,0)),IF(H$8&lt;$K282,IF(OFFSET(H282,-1,0)="","ERR",OFFSET(H282,-1,0)),""))</f>
        <v/>
      </c>
      <c r="I282" s="11">
        <f>IF($K282=I$8,1+IF(OFFSET(I282,-1,0)="",0,OFFSET(I282,-1,0)),IF(I$8&lt;$K282,IF(OFFSET(I282,-1,0)="","ERR",OFFSET(I282,-1,0)),""))</f>
        <v/>
      </c>
      <c r="J282" s="46">
        <f>_xlfn.TEXTJOIN(".",1,B282:I282)</f>
        <v/>
      </c>
      <c r="K282" s="46" t="inlineStr">
        <is>
          <t>Л6</t>
        </is>
      </c>
      <c r="L282" s="46" t="inlineStr">
        <is>
          <t>3.3.3.12.2.13</t>
        </is>
      </c>
      <c r="M282" s="47" t="inlineStr">
        <is>
          <t>Монтаж модуля доступа: Модуль расширения RB-04, RB-04, RUSGUARD</t>
        </is>
      </c>
      <c r="N282" s="46" t="inlineStr">
        <is>
          <t>шт</t>
        </is>
      </c>
      <c r="O282" s="94">
        <f>P282+Q282+S282+V282</f>
        <v/>
      </c>
      <c r="P282" s="46" t="n"/>
      <c r="Q282" s="46" t="n"/>
      <c r="R282" s="46" t="n"/>
      <c r="S282" s="46" t="n">
        <v>1</v>
      </c>
      <c r="T282" s="46" t="n">
        <v>1</v>
      </c>
      <c r="U282" s="46" t="n">
        <v>1</v>
      </c>
      <c r="V282" s="46" t="n">
        <v>1</v>
      </c>
      <c r="W282" s="46" t="n"/>
      <c r="X282" s="46" t="n"/>
      <c r="Y282" s="46" t="n"/>
      <c r="Z282" s="46" t="n"/>
      <c r="AA282" s="48" t="n"/>
      <c r="AB282" s="179" t="n"/>
      <c r="AC282" s="180" t="n"/>
      <c r="AD282" s="189">
        <f>SUM(AB282:AC282)</f>
        <v/>
      </c>
      <c r="AE282" s="189">
        <f>AB282*$O282</f>
        <v/>
      </c>
      <c r="AF282" s="189">
        <f>AC282*$O282</f>
        <v/>
      </c>
      <c r="AG282" s="189">
        <f>SUM(AE282:AF282)</f>
        <v/>
      </c>
      <c r="AH282" s="182" t="n"/>
    </row>
    <row r="283" outlineLevel="1">
      <c r="A283" s="18" t="inlineStr">
        <is>
          <t>О</t>
        </is>
      </c>
      <c r="B283" s="11">
        <f>IF($K283=B$8,1+IF(OFFSET(B283,-1,0)="",0,OFFSET(B283,-1,0)),IF(B$8&lt;$K283,IF(OFFSET(B283,-1,0)="","ERR",OFFSET(B283,-1,0)),""))</f>
        <v/>
      </c>
      <c r="C283" s="11">
        <f>IF($K283=C$8,1+IF(OFFSET(C283,-1,0)="",0,OFFSET(C283,-1,0)),IF(C$8&lt;$K283,IF(OFFSET(C283,-1,0)="","ERR",OFFSET(C283,-1,0)),""))</f>
        <v/>
      </c>
      <c r="D283" s="11">
        <f>IF($K283=D$8,1+IF(OFFSET(D283,-1,0)="",0,OFFSET(D283,-1,0)),IF(D$8&lt;$K283,IF(OFFSET(D283,-1,0)="","ERR",OFFSET(D283,-1,0)),""))</f>
        <v/>
      </c>
      <c r="E283" s="11">
        <f>IF($K283=E$8,1+IF(OFFSET(E283,-1,0)="",0,OFFSET(E283,-1,0)),IF(E$8&lt;$K283,IF(OFFSET(E283,-1,0)="","ERR",OFFSET(E283,-1,0)),""))</f>
        <v/>
      </c>
      <c r="F283" s="11">
        <f>IF($K283=F$8,1+IF(OFFSET(F283,-1,0)="",0,OFFSET(F283,-1,0)),IF(F$8&lt;$K283,IF(OFFSET(F283,-1,0)="","ERR",OFFSET(F283,-1,0)),""))</f>
        <v/>
      </c>
      <c r="G283" s="11">
        <f>IF($K283=G$8,1+IF(OFFSET(G283,-1,0)="",0,OFFSET(G283,-1,0)),IF(G$8&lt;$K283,IF(OFFSET(G283,-1,0)="","ERR",OFFSET(G283,-1,0)),""))</f>
        <v/>
      </c>
      <c r="H283" s="11">
        <f>IF($K283=H$8,1+IF(OFFSET(H283,-1,0)="",0,OFFSET(H283,-1,0)),IF(H$8&lt;$K283,IF(OFFSET(H283,-1,0)="","ERR",OFFSET(H283,-1,0)),""))</f>
        <v/>
      </c>
      <c r="I283" s="11">
        <f>IF($K283=I$8,1+IF(OFFSET(I283,-1,0)="",0,OFFSET(I283,-1,0)),IF(I$8&lt;$K283,IF(OFFSET(I283,-1,0)="","ERR",OFFSET(I283,-1,0)),""))</f>
        <v/>
      </c>
      <c r="J283" s="46">
        <f>_xlfn.TEXTJOIN(".",1,B283:I283)</f>
        <v/>
      </c>
      <c r="K283" s="46" t="inlineStr">
        <is>
          <t>Л6</t>
        </is>
      </c>
      <c r="L283" s="46" t="inlineStr">
        <is>
          <t>3.3.3.12.2.14</t>
        </is>
      </c>
      <c r="M283" s="47" t="inlineStr">
        <is>
          <t>Монтаж аккумуляторной батареи: Аккумулятор свинцовый, 7Ah, DT1207, DELTA</t>
        </is>
      </c>
      <c r="N283" s="46" t="inlineStr">
        <is>
          <t>шт</t>
        </is>
      </c>
      <c r="O283" s="94">
        <f>P283+Q283+S283+V283</f>
        <v/>
      </c>
      <c r="P283" s="46" t="n"/>
      <c r="Q283" s="46" t="n">
        <v>40</v>
      </c>
      <c r="R283" s="46" t="n">
        <v>40</v>
      </c>
      <c r="S283" s="46" t="n">
        <v>53</v>
      </c>
      <c r="T283" s="46" t="n">
        <v>53</v>
      </c>
      <c r="U283" s="46" t="n">
        <v>47</v>
      </c>
      <c r="V283" s="46" t="n">
        <v>47</v>
      </c>
      <c r="W283" s="46" t="n"/>
      <c r="X283" s="46" t="n"/>
      <c r="Y283" s="46" t="n"/>
      <c r="Z283" s="46" t="n"/>
      <c r="AA283" s="48" t="n"/>
      <c r="AB283" s="179" t="n"/>
      <c r="AC283" s="180" t="n"/>
      <c r="AD283" s="189">
        <f>SUM(AB283:AC283)</f>
        <v/>
      </c>
      <c r="AE283" s="189">
        <f>AB283*$O283</f>
        <v/>
      </c>
      <c r="AF283" s="189">
        <f>AC283*$O283</f>
        <v/>
      </c>
      <c r="AG283" s="189">
        <f>SUM(AE283:AF283)</f>
        <v/>
      </c>
      <c r="AH283" s="182" t="n"/>
    </row>
    <row r="284" outlineLevel="1">
      <c r="A284" s="18" t="inlineStr">
        <is>
          <t>О</t>
        </is>
      </c>
      <c r="B284" s="11">
        <f>IF($K284=B$8,1+IF(OFFSET(B284,-1,0)="",0,OFFSET(B284,-1,0)),IF(B$8&lt;$K284,IF(OFFSET(B284,-1,0)="","ERR",OFFSET(B284,-1,0)),""))</f>
        <v/>
      </c>
      <c r="C284" s="11">
        <f>IF($K284=C$8,1+IF(OFFSET(C284,-1,0)="",0,OFFSET(C284,-1,0)),IF(C$8&lt;$K284,IF(OFFSET(C284,-1,0)="","ERR",OFFSET(C284,-1,0)),""))</f>
        <v/>
      </c>
      <c r="D284" s="11">
        <f>IF($K284=D$8,1+IF(OFFSET(D284,-1,0)="",0,OFFSET(D284,-1,0)),IF(D$8&lt;$K284,IF(OFFSET(D284,-1,0)="","ERR",OFFSET(D284,-1,0)),""))</f>
        <v/>
      </c>
      <c r="E284" s="11">
        <f>IF($K284=E$8,1+IF(OFFSET(E284,-1,0)="",0,OFFSET(E284,-1,0)),IF(E$8&lt;$K284,IF(OFFSET(E284,-1,0)="","ERR",OFFSET(E284,-1,0)),""))</f>
        <v/>
      </c>
      <c r="F284" s="11">
        <f>IF($K284=F$8,1+IF(OFFSET(F284,-1,0)="",0,OFFSET(F284,-1,0)),IF(F$8&lt;$K284,IF(OFFSET(F284,-1,0)="","ERR",OFFSET(F284,-1,0)),""))</f>
        <v/>
      </c>
      <c r="G284" s="11">
        <f>IF($K284=G$8,1+IF(OFFSET(G284,-1,0)="",0,OFFSET(G284,-1,0)),IF(G$8&lt;$K284,IF(OFFSET(G284,-1,0)="","ERR",OFFSET(G284,-1,0)),""))</f>
        <v/>
      </c>
      <c r="H284" s="11">
        <f>IF($K284=H$8,1+IF(OFFSET(H284,-1,0)="",0,OFFSET(H284,-1,0)),IF(H$8&lt;$K284,IF(OFFSET(H284,-1,0)="","ERR",OFFSET(H284,-1,0)),""))</f>
        <v/>
      </c>
      <c r="I284" s="11">
        <f>IF($K284=I$8,1+IF(OFFSET(I284,-1,0)="",0,OFFSET(I284,-1,0)),IF(I$8&lt;$K284,IF(OFFSET(I284,-1,0)="","ERR",OFFSET(I284,-1,0)),""))</f>
        <v/>
      </c>
      <c r="J284" s="46">
        <f>_xlfn.TEXTJOIN(".",1,B284:I284)</f>
        <v/>
      </c>
      <c r="K284" s="46" t="inlineStr">
        <is>
          <t>Л6</t>
        </is>
      </c>
      <c r="L284" s="46" t="inlineStr">
        <is>
          <t>3.3.3.12.2.14</t>
        </is>
      </c>
      <c r="M284" s="47" t="inlineStr">
        <is>
          <t>Монтаж аккумуляторной батареи: Аккумулятор, 12В 4 А·ч, HR 4-12 B.B.Battery, ЭТМ</t>
        </is>
      </c>
      <c r="N284" s="46" t="inlineStr">
        <is>
          <t>шт</t>
        </is>
      </c>
      <c r="O284" s="94">
        <f>P284+Q284+S284+V284</f>
        <v/>
      </c>
      <c r="P284" s="46" t="n"/>
      <c r="Q284" s="46" t="n">
        <v>3</v>
      </c>
      <c r="R284" s="46" t="n">
        <v>3</v>
      </c>
      <c r="S284" s="46" t="n">
        <v>4</v>
      </c>
      <c r="T284" s="46" t="n">
        <v>4</v>
      </c>
      <c r="U284" s="46" t="n">
        <v>4</v>
      </c>
      <c r="V284" s="46" t="n">
        <v>4</v>
      </c>
      <c r="W284" s="46" t="n"/>
      <c r="X284" s="46" t="n"/>
      <c r="Y284" s="46" t="n"/>
      <c r="Z284" s="46" t="n"/>
      <c r="AA284" s="48" t="n"/>
      <c r="AB284" s="179" t="n"/>
      <c r="AC284" s="180" t="n"/>
      <c r="AD284" s="189">
        <f>SUM(AB284:AC284)</f>
        <v/>
      </c>
      <c r="AE284" s="189">
        <f>AB284*$O284</f>
        <v/>
      </c>
      <c r="AF284" s="189">
        <f>AC284*$O284</f>
        <v/>
      </c>
      <c r="AG284" s="189">
        <f>SUM(AE284:AF284)</f>
        <v/>
      </c>
      <c r="AH284" s="182" t="n"/>
    </row>
    <row r="285" outlineLevel="1">
      <c r="A285" s="18" t="inlineStr">
        <is>
          <t>О</t>
        </is>
      </c>
      <c r="B285" s="11">
        <f>IF($K285=B$8,1+IF(OFFSET(B285,-1,0)="",0,OFFSET(B285,-1,0)),IF(B$8&lt;$K285,IF(OFFSET(B285,-1,0)="","ERR",OFFSET(B285,-1,0)),""))</f>
        <v/>
      </c>
      <c r="C285" s="11">
        <f>IF($K285=C$8,1+IF(OFFSET(C285,-1,0)="",0,OFFSET(C285,-1,0)),IF(C$8&lt;$K285,IF(OFFSET(C285,-1,0)="","ERR",OFFSET(C285,-1,0)),""))</f>
        <v/>
      </c>
      <c r="D285" s="11">
        <f>IF($K285=D$8,1+IF(OFFSET(D285,-1,0)="",0,OFFSET(D285,-1,0)),IF(D$8&lt;$K285,IF(OFFSET(D285,-1,0)="","ERR",OFFSET(D285,-1,0)),""))</f>
        <v/>
      </c>
      <c r="E285" s="11">
        <f>IF($K285=E$8,1+IF(OFFSET(E285,-1,0)="",0,OFFSET(E285,-1,0)),IF(E$8&lt;$K285,IF(OFFSET(E285,-1,0)="","ERR",OFFSET(E285,-1,0)),""))</f>
        <v/>
      </c>
      <c r="F285" s="11">
        <f>IF($K285=F$8,1+IF(OFFSET(F285,-1,0)="",0,OFFSET(F285,-1,0)),IF(F$8&lt;$K285,IF(OFFSET(F285,-1,0)="","ERR",OFFSET(F285,-1,0)),""))</f>
        <v/>
      </c>
      <c r="G285" s="11">
        <f>IF($K285=G$8,1+IF(OFFSET(G285,-1,0)="",0,OFFSET(G285,-1,0)),IF(G$8&lt;$K285,IF(OFFSET(G285,-1,0)="","ERR",OFFSET(G285,-1,0)),""))</f>
        <v/>
      </c>
      <c r="H285" s="11">
        <f>IF($K285=H$8,1+IF(OFFSET(H285,-1,0)="",0,OFFSET(H285,-1,0)),IF(H$8&lt;$K285,IF(OFFSET(H285,-1,0)="","ERR",OFFSET(H285,-1,0)),""))</f>
        <v/>
      </c>
      <c r="I285" s="11">
        <f>IF($K285=I$8,1+IF(OFFSET(I285,-1,0)="",0,OFFSET(I285,-1,0)),IF(I$8&lt;$K285,IF(OFFSET(I285,-1,0)="","ERR",OFFSET(I285,-1,0)),""))</f>
        <v/>
      </c>
      <c r="J285" s="46">
        <f>_xlfn.TEXTJOIN(".",1,B285:I285)</f>
        <v/>
      </c>
      <c r="K285" s="46" t="inlineStr">
        <is>
          <t>Л6</t>
        </is>
      </c>
      <c r="L285" s="46" t="inlineStr">
        <is>
          <t>3.3.3.12.2.15</t>
        </is>
      </c>
      <c r="M285" s="47" t="inlineStr">
        <is>
          <t>Монтаж панели управления</t>
        </is>
      </c>
      <c r="N285" s="46" t="inlineStr">
        <is>
          <t>шт</t>
        </is>
      </c>
      <c r="O285" s="94">
        <f>P285+Q285+S285+V285</f>
        <v/>
      </c>
      <c r="P285" s="46" t="n"/>
      <c r="Q285" s="46" t="n"/>
      <c r="R285" s="46" t="n"/>
      <c r="S285" s="46" t="n">
        <v>1</v>
      </c>
      <c r="T285" s="46" t="n">
        <v>1</v>
      </c>
      <c r="U285" s="46" t="n"/>
      <c r="V285" s="46" t="n"/>
      <c r="W285" s="46" t="n"/>
      <c r="X285" s="46" t="n"/>
      <c r="Y285" s="46" t="n"/>
      <c r="Z285" s="46" t="n"/>
      <c r="AA285" s="48" t="n"/>
      <c r="AB285" s="196" t="n"/>
      <c r="AC285" s="180" t="n"/>
      <c r="AD285" s="189">
        <f>SUM(AB285:AC285)</f>
        <v/>
      </c>
      <c r="AE285" s="189">
        <f>AB285*$O285</f>
        <v/>
      </c>
      <c r="AF285" s="189">
        <f>AC285*$O285</f>
        <v/>
      </c>
      <c r="AG285" s="189">
        <f>SUM(AE285:AF285)</f>
        <v/>
      </c>
      <c r="AH285" s="182" t="n"/>
    </row>
    <row r="286" outlineLevel="1">
      <c r="A286" s="18" t="inlineStr">
        <is>
          <t>О</t>
        </is>
      </c>
      <c r="B286" s="11">
        <f>IF($K286=B$8,1+IF(OFFSET(B286,-1,0)="",0,OFFSET(B286,-1,0)),IF(B$8&lt;$K286,IF(OFFSET(B286,-1,0)="","ERR",OFFSET(B286,-1,0)),""))</f>
        <v/>
      </c>
      <c r="C286" s="11">
        <f>IF($K286=C$8,1+IF(OFFSET(C286,-1,0)="",0,OFFSET(C286,-1,0)),IF(C$8&lt;$K286,IF(OFFSET(C286,-1,0)="","ERR",OFFSET(C286,-1,0)),""))</f>
        <v/>
      </c>
      <c r="D286" s="11">
        <f>IF($K286=D$8,1+IF(OFFSET(D286,-1,0)="",0,OFFSET(D286,-1,0)),IF(D$8&lt;$K286,IF(OFFSET(D286,-1,0)="","ERR",OFFSET(D286,-1,0)),""))</f>
        <v/>
      </c>
      <c r="E286" s="11">
        <f>IF($K286=E$8,1+IF(OFFSET(E286,-1,0)="",0,OFFSET(E286,-1,0)),IF(E$8&lt;$K286,IF(OFFSET(E286,-1,0)="","ERR",OFFSET(E286,-1,0)),""))</f>
        <v/>
      </c>
      <c r="F286" s="11">
        <f>IF($K286=F$8,1+IF(OFFSET(F286,-1,0)="",0,OFFSET(F286,-1,0)),IF(F$8&lt;$K286,IF(OFFSET(F286,-1,0)="","ERR",OFFSET(F286,-1,0)),""))</f>
        <v/>
      </c>
      <c r="G286" s="11">
        <f>IF($K286=G$8,1+IF(OFFSET(G286,-1,0)="",0,OFFSET(G286,-1,0)),IF(G$8&lt;$K286,IF(OFFSET(G286,-1,0)="","ERR",OFFSET(G286,-1,0)),""))</f>
        <v/>
      </c>
      <c r="H286" s="11">
        <f>IF($K286=H$8,1+IF(OFFSET(H286,-1,0)="",0,OFFSET(H286,-1,0)),IF(H$8&lt;$K286,IF(OFFSET(H286,-1,0)="","ERR",OFFSET(H286,-1,0)),""))</f>
        <v/>
      </c>
      <c r="I286" s="11">
        <f>IF($K286=I$8,1+IF(OFFSET(I286,-1,0)="",0,OFFSET(I286,-1,0)),IF(I$8&lt;$K286,IF(OFFSET(I286,-1,0)="","ERR",OFFSET(I286,-1,0)),""))</f>
        <v/>
      </c>
      <c r="J286" s="49">
        <f>_xlfn.TEXTJOIN(".",1,B286:I286)</f>
        <v/>
      </c>
      <c r="K286" s="49" t="inlineStr">
        <is>
          <t>Л7</t>
        </is>
      </c>
      <c r="L286" s="49" t="n"/>
      <c r="M286" s="63" t="inlineStr">
        <is>
          <t>IP видеотелефон Akuvox VP-R49G</t>
        </is>
      </c>
      <c r="N286" s="49" t="inlineStr">
        <is>
          <t>шт</t>
        </is>
      </c>
      <c r="O286" s="50">
        <f>P286+Q286+S286+V286</f>
        <v/>
      </c>
      <c r="P286" s="49" t="n"/>
      <c r="Q286" s="49" t="n"/>
      <c r="R286" s="49" t="n"/>
      <c r="S286" s="49" t="n">
        <v>1</v>
      </c>
      <c r="T286" s="49" t="n">
        <v>1</v>
      </c>
      <c r="U286" s="49" t="n"/>
      <c r="V286" s="49" t="n"/>
      <c r="W286" s="50" t="n">
        <v>1</v>
      </c>
      <c r="X286" s="26" t="n">
        <v>7715563727</v>
      </c>
      <c r="Y286" s="26" t="n">
        <v>771501001</v>
      </c>
      <c r="Z286" s="26" t="inlineStr">
        <is>
          <t>ООО "Солярис"</t>
        </is>
      </c>
      <c r="AA286" s="51" t="inlineStr">
        <is>
          <t>ГТ</t>
        </is>
      </c>
      <c r="AB286" s="188" t="n"/>
      <c r="AC286" s="189" t="n"/>
      <c r="AD286" s="190">
        <f>SUM(AB286:AC286)</f>
        <v/>
      </c>
      <c r="AE286" s="190">
        <f>AB286*$O286*$W286</f>
        <v/>
      </c>
      <c r="AF286" s="190">
        <f>AC286*$O286*$W286</f>
        <v/>
      </c>
      <c r="AG286" s="190">
        <f>SUM(AE286:AF286)</f>
        <v/>
      </c>
      <c r="AH286" s="182" t="n"/>
    </row>
    <row r="287" outlineLevel="1">
      <c r="A287" s="18" t="inlineStr">
        <is>
          <t>О</t>
        </is>
      </c>
      <c r="B287" s="11">
        <f>IF($K287=B$8,1+IF(OFFSET(B287,-1,0)="",0,OFFSET(B287,-1,0)),IF(B$8&lt;$K287,IF(OFFSET(B287,-1,0)="","ERR",OFFSET(B287,-1,0)),""))</f>
        <v/>
      </c>
      <c r="C287" s="11">
        <f>IF($K287=C$8,1+IF(OFFSET(C287,-1,0)="",0,OFFSET(C287,-1,0)),IF(C$8&lt;$K287,IF(OFFSET(C287,-1,0)="","ERR",OFFSET(C287,-1,0)),""))</f>
        <v/>
      </c>
      <c r="D287" s="11">
        <f>IF($K287=D$8,1+IF(OFFSET(D287,-1,0)="",0,OFFSET(D287,-1,0)),IF(D$8&lt;$K287,IF(OFFSET(D287,-1,0)="","ERR",OFFSET(D287,-1,0)),""))</f>
        <v/>
      </c>
      <c r="E287" s="11">
        <f>IF($K287=E$8,1+IF(OFFSET(E287,-1,0)="",0,OFFSET(E287,-1,0)),IF(E$8&lt;$K287,IF(OFFSET(E287,-1,0)="","ERR",OFFSET(E287,-1,0)),""))</f>
        <v/>
      </c>
      <c r="F287" s="11">
        <f>IF($K287=F$8,1+IF(OFFSET(F287,-1,0)="",0,OFFSET(F287,-1,0)),IF(F$8&lt;$K287,IF(OFFSET(F287,-1,0)="","ERR",OFFSET(F287,-1,0)),""))</f>
        <v/>
      </c>
      <c r="G287" s="11">
        <f>IF($K287=G$8,1+IF(OFFSET(G287,-1,0)="",0,OFFSET(G287,-1,0)),IF(G$8&lt;$K287,IF(OFFSET(G287,-1,0)="","ERR",OFFSET(G287,-1,0)),""))</f>
        <v/>
      </c>
      <c r="H287" s="11">
        <f>IF($K287=H$8,1+IF(OFFSET(H287,-1,0)="",0,OFFSET(H287,-1,0)),IF(H$8&lt;$K287,IF(OFFSET(H287,-1,0)="","ERR",OFFSET(H287,-1,0)),""))</f>
        <v/>
      </c>
      <c r="I287" s="11">
        <f>IF($K287=I$8,1+IF(OFFSET(I287,-1,0)="",0,OFFSET(I287,-1,0)),IF(I$8&lt;$K287,IF(OFFSET(I287,-1,0)="","ERR",OFFSET(I287,-1,0)),""))</f>
        <v/>
      </c>
      <c r="J287" s="46">
        <f>_xlfn.TEXTJOIN(".",1,B287:I287)</f>
        <v/>
      </c>
      <c r="K287" s="46" t="inlineStr">
        <is>
          <t>Л7</t>
        </is>
      </c>
      <c r="L287" s="46" t="n"/>
      <c r="M287" s="64" t="inlineStr">
        <is>
          <t>Сопутствующие и прочие материалы*</t>
        </is>
      </c>
      <c r="N287" s="46" t="inlineStr">
        <is>
          <t>шт</t>
        </is>
      </c>
      <c r="O287" s="94">
        <f>P287+Q287+S287+V287</f>
        <v/>
      </c>
      <c r="P287" s="46" t="n"/>
      <c r="Q287" s="46" t="n"/>
      <c r="R287" s="46" t="n"/>
      <c r="S287" s="46" t="n">
        <v>1</v>
      </c>
      <c r="T287" s="46" t="n">
        <v>1</v>
      </c>
      <c r="U287" s="46" t="n"/>
      <c r="V287" s="46" t="n"/>
      <c r="W287" s="46" t="n"/>
      <c r="X287" s="46" t="n"/>
      <c r="Y287" s="46" t="n"/>
      <c r="Z287" s="46" t="n"/>
      <c r="AA287" s="48" t="n"/>
      <c r="AB287" s="179" t="n"/>
      <c r="AC287" s="189" t="n"/>
      <c r="AD287" s="189">
        <f>SUM(AB287:AC287)</f>
        <v/>
      </c>
      <c r="AE287" s="189">
        <f>AB287*$O287</f>
        <v/>
      </c>
      <c r="AF287" s="189">
        <f>AC287*$O287</f>
        <v/>
      </c>
      <c r="AG287" s="189">
        <f>SUM(AE287:AF287)</f>
        <v/>
      </c>
      <c r="AH287" s="182" t="n"/>
    </row>
    <row r="288" outlineLevel="1">
      <c r="A288" s="18" t="inlineStr">
        <is>
          <t>О</t>
        </is>
      </c>
      <c r="B288" s="11">
        <f>IF($K288=B$8,1+IF(OFFSET(B288,-1,0)="",0,OFFSET(B288,-1,0)),IF(B$8&lt;$K288,IF(OFFSET(B288,-1,0)="","ERR",OFFSET(B288,-1,0)),""))</f>
        <v/>
      </c>
      <c r="C288" s="11">
        <f>IF($K288=C$8,1+IF(OFFSET(C288,-1,0)="",0,OFFSET(C288,-1,0)),IF(C$8&lt;$K288,IF(OFFSET(C288,-1,0)="","ERR",OFFSET(C288,-1,0)),""))</f>
        <v/>
      </c>
      <c r="D288" s="11">
        <f>IF($K288=D$8,1+IF(OFFSET(D288,-1,0)="",0,OFFSET(D288,-1,0)),IF(D$8&lt;$K288,IF(OFFSET(D288,-1,0)="","ERR",OFFSET(D288,-1,0)),""))</f>
        <v/>
      </c>
      <c r="E288" s="11">
        <f>IF($K288=E$8,1+IF(OFFSET(E288,-1,0)="",0,OFFSET(E288,-1,0)),IF(E$8&lt;$K288,IF(OFFSET(E288,-1,0)="","ERR",OFFSET(E288,-1,0)),""))</f>
        <v/>
      </c>
      <c r="F288" s="11">
        <f>IF($K288=F$8,1+IF(OFFSET(F288,-1,0)="",0,OFFSET(F288,-1,0)),IF(F$8&lt;$K288,IF(OFFSET(F288,-1,0)="","ERR",OFFSET(F288,-1,0)),""))</f>
        <v/>
      </c>
      <c r="G288" s="11">
        <f>IF($K288=G$8,1+IF(OFFSET(G288,-1,0)="",0,OFFSET(G288,-1,0)),IF(G$8&lt;$K288,IF(OFFSET(G288,-1,0)="","ERR",OFFSET(G288,-1,0)),""))</f>
        <v/>
      </c>
      <c r="H288" s="11">
        <f>IF($K288=H$8,1+IF(OFFSET(H288,-1,0)="",0,OFFSET(H288,-1,0)),IF(H$8&lt;$K288,IF(OFFSET(H288,-1,0)="","ERR",OFFSET(H288,-1,0)),""))</f>
        <v/>
      </c>
      <c r="I288" s="11">
        <f>IF($K288=I$8,1+IF(OFFSET(I288,-1,0)="",0,OFFSET(I288,-1,0)),IF(I$8&lt;$K288,IF(OFFSET(I288,-1,0)="","ERR",OFFSET(I288,-1,0)),""))</f>
        <v/>
      </c>
      <c r="J288" s="46">
        <f>_xlfn.TEXTJOIN(".",1,B288:I288)</f>
        <v/>
      </c>
      <c r="K288" s="46" t="inlineStr">
        <is>
          <t>Л6</t>
        </is>
      </c>
      <c r="L288" s="46" t="inlineStr">
        <is>
          <t>3.3.3.12.2.20</t>
        </is>
      </c>
      <c r="M288" s="47" t="inlineStr">
        <is>
          <t>Монтаж многоабонентской вызывной панели врезной</t>
        </is>
      </c>
      <c r="N288" s="46" t="inlineStr">
        <is>
          <t>шт</t>
        </is>
      </c>
      <c r="O288" s="94">
        <f>P288+Q288+S288+V288</f>
        <v/>
      </c>
      <c r="P288" s="46" t="n"/>
      <c r="Q288" s="46">
        <f>Q289</f>
        <v/>
      </c>
      <c r="R288" s="46">
        <f>R289</f>
        <v/>
      </c>
      <c r="S288" s="46">
        <f>S289</f>
        <v/>
      </c>
      <c r="T288" s="46">
        <f>T289</f>
        <v/>
      </c>
      <c r="U288" s="46">
        <f>U289</f>
        <v/>
      </c>
      <c r="V288" s="46">
        <f>V289</f>
        <v/>
      </c>
      <c r="W288" s="46" t="n"/>
      <c r="X288" s="46" t="n"/>
      <c r="Y288" s="46" t="n"/>
      <c r="Z288" s="46" t="n"/>
      <c r="AA288" s="48" t="n"/>
      <c r="AB288" s="187" t="n"/>
      <c r="AC288" s="180" t="n"/>
      <c r="AD288" s="189">
        <f>SUM(AB288:AC288)</f>
        <v/>
      </c>
      <c r="AE288" s="189">
        <f>AB288*$O288</f>
        <v/>
      </c>
      <c r="AF288" s="189">
        <f>AC288*$O288</f>
        <v/>
      </c>
      <c r="AG288" s="189">
        <f>SUM(AE288:AF288)</f>
        <v/>
      </c>
      <c r="AH288" s="182" t="n"/>
    </row>
    <row r="289" outlineLevel="1" ht="25.5" customHeight="1">
      <c r="A289" s="18" t="inlineStr">
        <is>
          <t>О</t>
        </is>
      </c>
      <c r="B289" s="11">
        <f>IF($K289=B$8,1+IF(OFFSET(B289,-1,0)="",0,OFFSET(B289,-1,0)),IF(B$8&lt;$K289,IF(OFFSET(B289,-1,0)="","ERR",OFFSET(B289,-1,0)),""))</f>
        <v/>
      </c>
      <c r="C289" s="11">
        <f>IF($K289=C$8,1+IF(OFFSET(C289,-1,0)="",0,OFFSET(C289,-1,0)),IF(C$8&lt;$K289,IF(OFFSET(C289,-1,0)="","ERR",OFFSET(C289,-1,0)),""))</f>
        <v/>
      </c>
      <c r="D289" s="11">
        <f>IF($K289=D$8,1+IF(OFFSET(D289,-1,0)="",0,OFFSET(D289,-1,0)),IF(D$8&lt;$K289,IF(OFFSET(D289,-1,0)="","ERR",OFFSET(D289,-1,0)),""))</f>
        <v/>
      </c>
      <c r="E289" s="11">
        <f>IF($K289=E$8,1+IF(OFFSET(E289,-1,0)="",0,OFFSET(E289,-1,0)),IF(E$8&lt;$K289,IF(OFFSET(E289,-1,0)="","ERR",OFFSET(E289,-1,0)),""))</f>
        <v/>
      </c>
      <c r="F289" s="11">
        <f>IF($K289=F$8,1+IF(OFFSET(F289,-1,0)="",0,OFFSET(F289,-1,0)),IF(F$8&lt;$K289,IF(OFFSET(F289,-1,0)="","ERR",OFFSET(F289,-1,0)),""))</f>
        <v/>
      </c>
      <c r="G289" s="11">
        <f>IF($K289=G$8,1+IF(OFFSET(G289,-1,0)="",0,OFFSET(G289,-1,0)),IF(G$8&lt;$K289,IF(OFFSET(G289,-1,0)="","ERR",OFFSET(G289,-1,0)),""))</f>
        <v/>
      </c>
      <c r="H289" s="11">
        <f>IF($K289=H$8,1+IF(OFFSET(H289,-1,0)="",0,OFFSET(H289,-1,0)),IF(H$8&lt;$K289,IF(OFFSET(H289,-1,0)="","ERR",OFFSET(H289,-1,0)),""))</f>
        <v/>
      </c>
      <c r="I289" s="11">
        <f>IF($K289=I$8,1+IF(OFFSET(I289,-1,0)="",0,OFFSET(I289,-1,0)),IF(I$8&lt;$K289,IF(OFFSET(I289,-1,0)="","ERR",OFFSET(I289,-1,0)),""))</f>
        <v/>
      </c>
      <c r="J289" s="49">
        <f>_xlfn.TEXTJOIN(".",1,B289:I289)</f>
        <v/>
      </c>
      <c r="K289" s="49" t="inlineStr">
        <is>
          <t>Л7</t>
        </is>
      </c>
      <c r="L289" s="49" t="n"/>
      <c r="M289" s="63" t="inlineStr">
        <is>
          <t>IP вызывная панель многоабонентская с аудио- и видеоканалом, считывателем, кнопкой вызова, кодонаборником, со встроенным считывателем Akuvox S532 cо встроенным E Smart OEM</t>
        </is>
      </c>
      <c r="N289" s="49" t="inlineStr">
        <is>
          <t>шт</t>
        </is>
      </c>
      <c r="O289" s="50">
        <f>P289+Q289+S289+V289</f>
        <v/>
      </c>
      <c r="P289" s="49" t="n"/>
      <c r="Q289" s="49" t="n">
        <v>3</v>
      </c>
      <c r="R289" s="49" t="n">
        <v>3</v>
      </c>
      <c r="S289" s="49" t="n">
        <v>4</v>
      </c>
      <c r="T289" s="49" t="n">
        <v>4</v>
      </c>
      <c r="U289" s="49" t="n">
        <v>4</v>
      </c>
      <c r="V289" s="49" t="n">
        <v>4</v>
      </c>
      <c r="W289" s="50" t="n">
        <v>1</v>
      </c>
      <c r="X289" s="26" t="n">
        <v>7715563727</v>
      </c>
      <c r="Y289" s="26" t="n">
        <v>771501001</v>
      </c>
      <c r="Z289" s="26" t="inlineStr">
        <is>
          <t>ООО "Солярис"</t>
        </is>
      </c>
      <c r="AA289" s="51" t="inlineStr">
        <is>
          <t>ГТ</t>
        </is>
      </c>
      <c r="AB289" s="188" t="n"/>
      <c r="AC289" s="189" t="n"/>
      <c r="AD289" s="190">
        <f>SUM(AB289:AC289)</f>
        <v/>
      </c>
      <c r="AE289" s="190">
        <f>AB289*$O289*$W289</f>
        <v/>
      </c>
      <c r="AF289" s="190">
        <f>AC289*$O289*$W289</f>
        <v/>
      </c>
      <c r="AG289" s="190">
        <f>SUM(AE289:AF289)</f>
        <v/>
      </c>
      <c r="AH289" s="182" t="n"/>
    </row>
    <row r="290" outlineLevel="1">
      <c r="A290" s="18" t="inlineStr">
        <is>
          <t>О</t>
        </is>
      </c>
      <c r="B290" s="11">
        <f>IF($K290=B$8,1+IF(OFFSET(B290,-1,0)="",0,OFFSET(B290,-1,0)),IF(B$8&lt;$K290,IF(OFFSET(B290,-1,0)="","ERR",OFFSET(B290,-1,0)),""))</f>
        <v/>
      </c>
      <c r="C290" s="11">
        <f>IF($K290=C$8,1+IF(OFFSET(C290,-1,0)="",0,OFFSET(C290,-1,0)),IF(C$8&lt;$K290,IF(OFFSET(C290,-1,0)="","ERR",OFFSET(C290,-1,0)),""))</f>
        <v/>
      </c>
      <c r="D290" s="11">
        <f>IF($K290=D$8,1+IF(OFFSET(D290,-1,0)="",0,OFFSET(D290,-1,0)),IF(D$8&lt;$K290,IF(OFFSET(D290,-1,0)="","ERR",OFFSET(D290,-1,0)),""))</f>
        <v/>
      </c>
      <c r="E290" s="11">
        <f>IF($K290=E$8,1+IF(OFFSET(E290,-1,0)="",0,OFFSET(E290,-1,0)),IF(E$8&lt;$K290,IF(OFFSET(E290,-1,0)="","ERR",OFFSET(E290,-1,0)),""))</f>
        <v/>
      </c>
      <c r="F290" s="11">
        <f>IF($K290=F$8,1+IF(OFFSET(F290,-1,0)="",0,OFFSET(F290,-1,0)),IF(F$8&lt;$K290,IF(OFFSET(F290,-1,0)="","ERR",OFFSET(F290,-1,0)),""))</f>
        <v/>
      </c>
      <c r="G290" s="11">
        <f>IF($K290=G$8,1+IF(OFFSET(G290,-1,0)="",0,OFFSET(G290,-1,0)),IF(G$8&lt;$K290,IF(OFFSET(G290,-1,0)="","ERR",OFFSET(G290,-1,0)),""))</f>
        <v/>
      </c>
      <c r="H290" s="11">
        <f>IF($K290=H$8,1+IF(OFFSET(H290,-1,0)="",0,OFFSET(H290,-1,0)),IF(H$8&lt;$K290,IF(OFFSET(H290,-1,0)="","ERR",OFFSET(H290,-1,0)),""))</f>
        <v/>
      </c>
      <c r="I290" s="11">
        <f>IF($K290=I$8,1+IF(OFFSET(I290,-1,0)="",0,OFFSET(I290,-1,0)),IF(I$8&lt;$K290,IF(OFFSET(I290,-1,0)="","ERR",OFFSET(I290,-1,0)),""))</f>
        <v/>
      </c>
      <c r="J290" s="52">
        <f>_xlfn.TEXTJOIN(".",1,B290:I290)</f>
        <v/>
      </c>
      <c r="K290" s="52" t="inlineStr">
        <is>
          <t>Л7</t>
        </is>
      </c>
      <c r="L290" s="52" t="n"/>
      <c r="M290" s="65" t="inlineStr">
        <is>
          <t>Модуль интеграции с IP-домофонами BAS-IP.</t>
        </is>
      </c>
      <c r="N290" s="52" t="inlineStr">
        <is>
          <t>шт</t>
        </is>
      </c>
      <c r="O290" s="73">
        <f>P290+Q290+S290+V290</f>
        <v/>
      </c>
      <c r="P290" s="52" t="n"/>
      <c r="Q290" s="52" t="n">
        <v>3</v>
      </c>
      <c r="R290" s="52" t="n">
        <v>3</v>
      </c>
      <c r="S290" s="52" t="n">
        <v>4</v>
      </c>
      <c r="T290" s="52" t="n">
        <v>4</v>
      </c>
      <c r="U290" s="52" t="n">
        <v>4</v>
      </c>
      <c r="V290" s="52" t="n">
        <v>4</v>
      </c>
      <c r="W290" s="52" t="n"/>
      <c r="X290" s="26" t="n"/>
      <c r="Y290" s="26" t="n"/>
      <c r="Z290" s="26" t="n"/>
      <c r="AA290" s="54" t="n"/>
      <c r="AB290" s="179" t="n"/>
      <c r="AC290" s="189" t="n"/>
      <c r="AD290" s="189">
        <f>SUM(AB290:AC290)</f>
        <v/>
      </c>
      <c r="AE290" s="189">
        <f>AB290*$O290</f>
        <v/>
      </c>
      <c r="AF290" s="189">
        <f>AC290*$O290</f>
        <v/>
      </c>
      <c r="AG290" s="189">
        <f>SUM(AE290:AF290)</f>
        <v/>
      </c>
      <c r="AH290" s="195" t="n"/>
    </row>
    <row r="291" outlineLevel="1">
      <c r="A291" s="18" t="inlineStr">
        <is>
          <t>О</t>
        </is>
      </c>
      <c r="B291" s="11">
        <f>IF($K291=B$8,1+IF(OFFSET(B291,-1,0)="",0,OFFSET(B291,-1,0)),IF(B$8&lt;$K291,IF(OFFSET(B291,-1,0)="","ERR",OFFSET(B291,-1,0)),""))</f>
        <v/>
      </c>
      <c r="C291" s="11">
        <f>IF($K291=C$8,1+IF(OFFSET(C291,-1,0)="",0,OFFSET(C291,-1,0)),IF(C$8&lt;$K291,IF(OFFSET(C291,-1,0)="","ERR",OFFSET(C291,-1,0)),""))</f>
        <v/>
      </c>
      <c r="D291" s="11">
        <f>IF($K291=D$8,1+IF(OFFSET(D291,-1,0)="",0,OFFSET(D291,-1,0)),IF(D$8&lt;$K291,IF(OFFSET(D291,-1,0)="","ERR",OFFSET(D291,-1,0)),""))</f>
        <v/>
      </c>
      <c r="E291" s="11">
        <f>IF($K291=E$8,1+IF(OFFSET(E291,-1,0)="",0,OFFSET(E291,-1,0)),IF(E$8&lt;$K291,IF(OFFSET(E291,-1,0)="","ERR",OFFSET(E291,-1,0)),""))</f>
        <v/>
      </c>
      <c r="F291" s="11">
        <f>IF($K291=F$8,1+IF(OFFSET(F291,-1,0)="",0,OFFSET(F291,-1,0)),IF(F$8&lt;$K291,IF(OFFSET(F291,-1,0)="","ERR",OFFSET(F291,-1,0)),""))</f>
        <v/>
      </c>
      <c r="G291" s="11">
        <f>IF($K291=G$8,1+IF(OFFSET(G291,-1,0)="",0,OFFSET(G291,-1,0)),IF(G$8&lt;$K291,IF(OFFSET(G291,-1,0)="","ERR",OFFSET(G291,-1,0)),""))</f>
        <v/>
      </c>
      <c r="H291" s="11">
        <f>IF($K291=H$8,1+IF(OFFSET(H291,-1,0)="",0,OFFSET(H291,-1,0)),IF(H$8&lt;$K291,IF(OFFSET(H291,-1,0)="","ERR",OFFSET(H291,-1,0)),""))</f>
        <v/>
      </c>
      <c r="I291" s="11">
        <f>IF($K291=I$8,1+IF(OFFSET(I291,-1,0)="",0,OFFSET(I291,-1,0)),IF(I$8&lt;$K291,IF(OFFSET(I291,-1,0)="","ERR",OFFSET(I291,-1,0)),""))</f>
        <v/>
      </c>
      <c r="J291" s="46">
        <f>_xlfn.TEXTJOIN(".",1,B291:I291)</f>
        <v/>
      </c>
      <c r="K291" s="46" t="inlineStr">
        <is>
          <t>Л7</t>
        </is>
      </c>
      <c r="L291" s="46" t="n"/>
      <c r="M291" s="64" t="inlineStr">
        <is>
          <t>Сопутствующие и прочие материалы*</t>
        </is>
      </c>
      <c r="N291" s="46" t="inlineStr">
        <is>
          <t>шт</t>
        </is>
      </c>
      <c r="O291" s="94">
        <f>P291+Q291+S291+V291</f>
        <v/>
      </c>
      <c r="P291" s="46" t="n"/>
      <c r="Q291" s="46">
        <f>Q289</f>
        <v/>
      </c>
      <c r="R291" s="46">
        <f>R289</f>
        <v/>
      </c>
      <c r="S291" s="46">
        <f>S289</f>
        <v/>
      </c>
      <c r="T291" s="46">
        <f>T289</f>
        <v/>
      </c>
      <c r="U291" s="46">
        <f>U289</f>
        <v/>
      </c>
      <c r="V291" s="46">
        <f>V289</f>
        <v/>
      </c>
      <c r="W291" s="46" t="n"/>
      <c r="X291" s="46" t="n"/>
      <c r="Y291" s="46" t="n"/>
      <c r="Z291" s="46" t="n"/>
      <c r="AA291" s="48" t="n"/>
      <c r="AB291" s="179" t="n"/>
      <c r="AC291" s="189" t="n"/>
      <c r="AD291" s="189">
        <f>SUM(AB291:AC291)</f>
        <v/>
      </c>
      <c r="AE291" s="189">
        <f>AB291*$O291</f>
        <v/>
      </c>
      <c r="AF291" s="189">
        <f>AC291*$O291</f>
        <v/>
      </c>
      <c r="AG291" s="189">
        <f>SUM(AE291:AF291)</f>
        <v/>
      </c>
      <c r="AH291" s="182" t="n"/>
    </row>
    <row r="292" outlineLevel="1">
      <c r="A292" s="18" t="inlineStr">
        <is>
          <t>О</t>
        </is>
      </c>
      <c r="B292" s="11">
        <f>IF($K292=B$8,1+IF(OFFSET(B292,-1,0)="",0,OFFSET(B292,-1,0)),IF(B$8&lt;$K292,IF(OFFSET(B292,-1,0)="","ERR",OFFSET(B292,-1,0)),""))</f>
        <v/>
      </c>
      <c r="C292" s="11">
        <f>IF($K292=C$8,1+IF(OFFSET(C292,-1,0)="",0,OFFSET(C292,-1,0)),IF(C$8&lt;$K292,IF(OFFSET(C292,-1,0)="","ERR",OFFSET(C292,-1,0)),""))</f>
        <v/>
      </c>
      <c r="D292" s="11">
        <f>IF($K292=D$8,1+IF(OFFSET(D292,-1,0)="",0,OFFSET(D292,-1,0)),IF(D$8&lt;$K292,IF(OFFSET(D292,-1,0)="","ERR",OFFSET(D292,-1,0)),""))</f>
        <v/>
      </c>
      <c r="E292" s="11">
        <f>IF($K292=E$8,1+IF(OFFSET(E292,-1,0)="",0,OFFSET(E292,-1,0)),IF(E$8&lt;$K292,IF(OFFSET(E292,-1,0)="","ERR",OFFSET(E292,-1,0)),""))</f>
        <v/>
      </c>
      <c r="F292" s="11">
        <f>IF($K292=F$8,1+IF(OFFSET(F292,-1,0)="",0,OFFSET(F292,-1,0)),IF(F$8&lt;$K292,IF(OFFSET(F292,-1,0)="","ERR",OFFSET(F292,-1,0)),""))</f>
        <v/>
      </c>
      <c r="G292" s="11">
        <f>IF($K292=G$8,1+IF(OFFSET(G292,-1,0)="",0,OFFSET(G292,-1,0)),IF(G$8&lt;$K292,IF(OFFSET(G292,-1,0)="","ERR",OFFSET(G292,-1,0)),""))</f>
        <v/>
      </c>
      <c r="H292" s="11">
        <f>IF($K292=H$8,1+IF(OFFSET(H292,-1,0)="",0,OFFSET(H292,-1,0)),IF(H$8&lt;$K292,IF(OFFSET(H292,-1,0)="","ERR",OFFSET(H292,-1,0)),""))</f>
        <v/>
      </c>
      <c r="I292" s="11">
        <f>IF($K292=I$8,1+IF(OFFSET(I292,-1,0)="",0,OFFSET(I292,-1,0)),IF(I$8&lt;$K292,IF(OFFSET(I292,-1,0)="","ERR",OFFSET(I292,-1,0)),""))</f>
        <v/>
      </c>
      <c r="J292" s="46">
        <f>_xlfn.TEXTJOIN(".",1,B292:I292)</f>
        <v/>
      </c>
      <c r="K292" s="46" t="inlineStr">
        <is>
          <t>Л6</t>
        </is>
      </c>
      <c r="L292" s="46" t="inlineStr">
        <is>
          <t>3.3.3.12.2.21</t>
        </is>
      </c>
      <c r="M292" s="47" t="inlineStr">
        <is>
          <t>Монтаж однокнопочной одноабонентской вызывной панели врезной</t>
        </is>
      </c>
      <c r="N292" s="46" t="inlineStr">
        <is>
          <t>шт</t>
        </is>
      </c>
      <c r="O292" s="94">
        <f>P292+Q292+S292+V292</f>
        <v/>
      </c>
      <c r="P292" s="46" t="n"/>
      <c r="Q292" s="46" t="n"/>
      <c r="R292" s="46" t="n"/>
      <c r="S292" s="46">
        <f>S293</f>
        <v/>
      </c>
      <c r="T292" s="46">
        <f>T293</f>
        <v/>
      </c>
      <c r="U292" s="46">
        <f>U293</f>
        <v/>
      </c>
      <c r="V292" s="46">
        <f>V293</f>
        <v/>
      </c>
      <c r="W292" s="46" t="n"/>
      <c r="X292" s="46" t="n"/>
      <c r="Y292" s="46" t="n"/>
      <c r="Z292" s="46" t="n"/>
      <c r="AA292" s="48" t="n"/>
      <c r="AB292" s="187" t="n"/>
      <c r="AC292" s="180" t="n"/>
      <c r="AD292" s="189">
        <f>SUM(AB292:AC292)</f>
        <v/>
      </c>
      <c r="AE292" s="189">
        <f>AB292*$O292</f>
        <v/>
      </c>
      <c r="AF292" s="189">
        <f>AC292*$O292</f>
        <v/>
      </c>
      <c r="AG292" s="189">
        <f>SUM(AE292:AF292)</f>
        <v/>
      </c>
      <c r="AH292" s="182" t="n"/>
    </row>
    <row r="293" outlineLevel="1">
      <c r="A293" s="18" t="inlineStr">
        <is>
          <t>О</t>
        </is>
      </c>
      <c r="B293" s="11">
        <f>IF($K293=B$8,1+IF(OFFSET(B293,-1,0)="",0,OFFSET(B293,-1,0)),IF(B$8&lt;$K293,IF(OFFSET(B293,-1,0)="","ERR",OFFSET(B293,-1,0)),""))</f>
        <v/>
      </c>
      <c r="C293" s="11">
        <f>IF($K293=C$8,1+IF(OFFSET(C293,-1,0)="",0,OFFSET(C293,-1,0)),IF(C$8&lt;$K293,IF(OFFSET(C293,-1,0)="","ERR",OFFSET(C293,-1,0)),""))</f>
        <v/>
      </c>
      <c r="D293" s="11">
        <f>IF($K293=D$8,1+IF(OFFSET(D293,-1,0)="",0,OFFSET(D293,-1,0)),IF(D$8&lt;$K293,IF(OFFSET(D293,-1,0)="","ERR",OFFSET(D293,-1,0)),""))</f>
        <v/>
      </c>
      <c r="E293" s="11">
        <f>IF($K293=E$8,1+IF(OFFSET(E293,-1,0)="",0,OFFSET(E293,-1,0)),IF(E$8&lt;$K293,IF(OFFSET(E293,-1,0)="","ERR",OFFSET(E293,-1,0)),""))</f>
        <v/>
      </c>
      <c r="F293" s="11">
        <f>IF($K293=F$8,1+IF(OFFSET(F293,-1,0)="",0,OFFSET(F293,-1,0)),IF(F$8&lt;$K293,IF(OFFSET(F293,-1,0)="","ERR",OFFSET(F293,-1,0)),""))</f>
        <v/>
      </c>
      <c r="G293" s="11">
        <f>IF($K293=G$8,1+IF(OFFSET(G293,-1,0)="",0,OFFSET(G293,-1,0)),IF(G$8&lt;$K293,IF(OFFSET(G293,-1,0)="","ERR",OFFSET(G293,-1,0)),""))</f>
        <v/>
      </c>
      <c r="H293" s="11">
        <f>IF($K293=H$8,1+IF(OFFSET(H293,-1,0)="",0,OFFSET(H293,-1,0)),IF(H$8&lt;$K293,IF(OFFSET(H293,-1,0)="","ERR",OFFSET(H293,-1,0)),""))</f>
        <v/>
      </c>
      <c r="I293" s="11">
        <f>IF($K293=I$8,1+IF(OFFSET(I293,-1,0)="",0,OFFSET(I293,-1,0)),IF(I$8&lt;$K293,IF(OFFSET(I293,-1,0)="","ERR",OFFSET(I293,-1,0)),""))</f>
        <v/>
      </c>
      <c r="J293" s="49">
        <f>_xlfn.TEXTJOIN(".",1,B293:I293)</f>
        <v/>
      </c>
      <c r="K293" s="49" t="inlineStr">
        <is>
          <t>Л7</t>
        </is>
      </c>
      <c r="L293" s="49" t="n"/>
      <c r="M293" s="63" t="inlineStr">
        <is>
          <t>IP вызывная панель Akuvox E12</t>
        </is>
      </c>
      <c r="N293" s="49" t="inlineStr">
        <is>
          <t>шт</t>
        </is>
      </c>
      <c r="O293" s="50">
        <f>P293+Q293+S293+V293</f>
        <v/>
      </c>
      <c r="P293" s="49" t="n"/>
      <c r="Q293" s="49" t="n"/>
      <c r="R293" s="49" t="n"/>
      <c r="S293" s="49" t="n">
        <v>3</v>
      </c>
      <c r="T293" s="49" t="n">
        <v>3</v>
      </c>
      <c r="U293" s="49" t="n">
        <v>2</v>
      </c>
      <c r="V293" s="49" t="n">
        <v>2</v>
      </c>
      <c r="W293" s="50" t="n">
        <v>1</v>
      </c>
      <c r="X293" s="26" t="n">
        <v>7715563727</v>
      </c>
      <c r="Y293" s="26" t="n">
        <v>771501001</v>
      </c>
      <c r="Z293" s="26" t="inlineStr">
        <is>
          <t>ООО "Солярис"</t>
        </is>
      </c>
      <c r="AA293" s="51" t="inlineStr">
        <is>
          <t>ГТ</t>
        </is>
      </c>
      <c r="AB293" s="188" t="n"/>
      <c r="AC293" s="189" t="n"/>
      <c r="AD293" s="190">
        <f>SUM(AB293:AC293)</f>
        <v/>
      </c>
      <c r="AE293" s="190">
        <f>AB293*$O293*$W293</f>
        <v/>
      </c>
      <c r="AF293" s="190">
        <f>AC293*$O293*$W293</f>
        <v/>
      </c>
      <c r="AG293" s="190">
        <f>SUM(AE293:AF293)</f>
        <v/>
      </c>
      <c r="AH293" s="182" t="n"/>
    </row>
    <row r="294" outlineLevel="1">
      <c r="A294" s="18" t="inlineStr">
        <is>
          <t>О</t>
        </is>
      </c>
      <c r="B294" s="11">
        <f>IF($K294=B$8,1+IF(OFFSET(B294,-1,0)="",0,OFFSET(B294,-1,0)),IF(B$8&lt;$K294,IF(OFFSET(B294,-1,0)="","ERR",OFFSET(B294,-1,0)),""))</f>
        <v/>
      </c>
      <c r="C294" s="11">
        <f>IF($K294=C$8,1+IF(OFFSET(C294,-1,0)="",0,OFFSET(C294,-1,0)),IF(C$8&lt;$K294,IF(OFFSET(C294,-1,0)="","ERR",OFFSET(C294,-1,0)),""))</f>
        <v/>
      </c>
      <c r="D294" s="11">
        <f>IF($K294=D$8,1+IF(OFFSET(D294,-1,0)="",0,OFFSET(D294,-1,0)),IF(D$8&lt;$K294,IF(OFFSET(D294,-1,0)="","ERR",OFFSET(D294,-1,0)),""))</f>
        <v/>
      </c>
      <c r="E294" s="11">
        <f>IF($K294=E$8,1+IF(OFFSET(E294,-1,0)="",0,OFFSET(E294,-1,0)),IF(E$8&lt;$K294,IF(OFFSET(E294,-1,0)="","ERR",OFFSET(E294,-1,0)),""))</f>
        <v/>
      </c>
      <c r="F294" s="11">
        <f>IF($K294=F$8,1+IF(OFFSET(F294,-1,0)="",0,OFFSET(F294,-1,0)),IF(F$8&lt;$K294,IF(OFFSET(F294,-1,0)="","ERR",OFFSET(F294,-1,0)),""))</f>
        <v/>
      </c>
      <c r="G294" s="11">
        <f>IF($K294=G$8,1+IF(OFFSET(G294,-1,0)="",0,OFFSET(G294,-1,0)),IF(G$8&lt;$K294,IF(OFFSET(G294,-1,0)="","ERR",OFFSET(G294,-1,0)),""))</f>
        <v/>
      </c>
      <c r="H294" s="11">
        <f>IF($K294=H$8,1+IF(OFFSET(H294,-1,0)="",0,OFFSET(H294,-1,0)),IF(H$8&lt;$K294,IF(OFFSET(H294,-1,0)="","ERR",OFFSET(H294,-1,0)),""))</f>
        <v/>
      </c>
      <c r="I294" s="11">
        <f>IF($K294=I$8,1+IF(OFFSET(I294,-1,0)="",0,OFFSET(I294,-1,0)),IF(I$8&lt;$K294,IF(OFFSET(I294,-1,0)="","ERR",OFFSET(I294,-1,0)),""))</f>
        <v/>
      </c>
      <c r="J294" s="52">
        <f>_xlfn.TEXTJOIN(".",1,B294:I294)</f>
        <v/>
      </c>
      <c r="K294" s="52" t="inlineStr">
        <is>
          <t>Л7</t>
        </is>
      </c>
      <c r="L294" s="52" t="n"/>
      <c r="M294" s="65" t="inlineStr">
        <is>
          <t>Модуль интеграции с IP-домофонами BAS-IP.</t>
        </is>
      </c>
      <c r="N294" s="52" t="inlineStr">
        <is>
          <t>шт</t>
        </is>
      </c>
      <c r="O294" s="73">
        <f>P294+Q294+S294+V294</f>
        <v/>
      </c>
      <c r="P294" s="52" t="n"/>
      <c r="Q294" s="52" t="n"/>
      <c r="R294" s="52" t="n"/>
      <c r="S294" s="52" t="n">
        <v>3</v>
      </c>
      <c r="T294" s="52" t="n">
        <v>3</v>
      </c>
      <c r="U294" s="52" t="n">
        <v>2</v>
      </c>
      <c r="V294" s="52" t="n">
        <v>2</v>
      </c>
      <c r="W294" s="52" t="n"/>
      <c r="X294" s="26" t="n"/>
      <c r="Y294" s="26" t="n"/>
      <c r="Z294" s="26" t="n"/>
      <c r="AA294" s="54" t="n"/>
      <c r="AB294" s="179" t="n"/>
      <c r="AC294" s="189" t="n"/>
      <c r="AD294" s="189">
        <f>SUM(AB294:AC294)</f>
        <v/>
      </c>
      <c r="AE294" s="189">
        <f>AB294*$O294</f>
        <v/>
      </c>
      <c r="AF294" s="189">
        <f>AC294*$O294</f>
        <v/>
      </c>
      <c r="AG294" s="189">
        <f>SUM(AE294:AF294)</f>
        <v/>
      </c>
      <c r="AH294" s="195" t="n"/>
    </row>
    <row r="295" outlineLevel="1">
      <c r="A295" s="18" t="inlineStr">
        <is>
          <t>О</t>
        </is>
      </c>
      <c r="B295" s="11">
        <f>IF($K295=B$8,1+IF(OFFSET(B295,-1,0)="",0,OFFSET(B295,-1,0)),IF(B$8&lt;$K295,IF(OFFSET(B295,-1,0)="","ERR",OFFSET(B295,-1,0)),""))</f>
        <v/>
      </c>
      <c r="C295" s="11">
        <f>IF($K295=C$8,1+IF(OFFSET(C295,-1,0)="",0,OFFSET(C295,-1,0)),IF(C$8&lt;$K295,IF(OFFSET(C295,-1,0)="","ERR",OFFSET(C295,-1,0)),""))</f>
        <v/>
      </c>
      <c r="D295" s="11">
        <f>IF($K295=D$8,1+IF(OFFSET(D295,-1,0)="",0,OFFSET(D295,-1,0)),IF(D$8&lt;$K295,IF(OFFSET(D295,-1,0)="","ERR",OFFSET(D295,-1,0)),""))</f>
        <v/>
      </c>
      <c r="E295" s="11">
        <f>IF($K295=E$8,1+IF(OFFSET(E295,-1,0)="",0,OFFSET(E295,-1,0)),IF(E$8&lt;$K295,IF(OFFSET(E295,-1,0)="","ERR",OFFSET(E295,-1,0)),""))</f>
        <v/>
      </c>
      <c r="F295" s="11">
        <f>IF($K295=F$8,1+IF(OFFSET(F295,-1,0)="",0,OFFSET(F295,-1,0)),IF(F$8&lt;$K295,IF(OFFSET(F295,-1,0)="","ERR",OFFSET(F295,-1,0)),""))</f>
        <v/>
      </c>
      <c r="G295" s="11">
        <f>IF($K295=G$8,1+IF(OFFSET(G295,-1,0)="",0,OFFSET(G295,-1,0)),IF(G$8&lt;$K295,IF(OFFSET(G295,-1,0)="","ERR",OFFSET(G295,-1,0)),""))</f>
        <v/>
      </c>
      <c r="H295" s="11">
        <f>IF($K295=H$8,1+IF(OFFSET(H295,-1,0)="",0,OFFSET(H295,-1,0)),IF(H$8&lt;$K295,IF(OFFSET(H295,-1,0)="","ERR",OFFSET(H295,-1,0)),""))</f>
        <v/>
      </c>
      <c r="I295" s="11">
        <f>IF($K295=I$8,1+IF(OFFSET(I295,-1,0)="",0,OFFSET(I295,-1,0)),IF(I$8&lt;$K295,IF(OFFSET(I295,-1,0)="","ERR",OFFSET(I295,-1,0)),""))</f>
        <v/>
      </c>
      <c r="J295" s="46">
        <f>_xlfn.TEXTJOIN(".",1,B295:I295)</f>
        <v/>
      </c>
      <c r="K295" s="46" t="inlineStr">
        <is>
          <t>Л7</t>
        </is>
      </c>
      <c r="L295" s="46" t="n"/>
      <c r="M295" s="64" t="inlineStr">
        <is>
          <t>Сопутствующие и прочие материалы*</t>
        </is>
      </c>
      <c r="N295" s="46" t="inlineStr">
        <is>
          <t>шт</t>
        </is>
      </c>
      <c r="O295" s="94">
        <f>P295+Q295+S295+V295</f>
        <v/>
      </c>
      <c r="P295" s="46" t="n"/>
      <c r="Q295" s="46" t="n"/>
      <c r="R295" s="46" t="n"/>
      <c r="S295" s="46">
        <f>S293</f>
        <v/>
      </c>
      <c r="T295" s="46">
        <f>T293</f>
        <v/>
      </c>
      <c r="U295" s="46">
        <f>U293</f>
        <v/>
      </c>
      <c r="V295" s="46">
        <f>V293</f>
        <v/>
      </c>
      <c r="W295" s="46" t="n"/>
      <c r="X295" s="46" t="n"/>
      <c r="Y295" s="46" t="n"/>
      <c r="Z295" s="46" t="n"/>
      <c r="AA295" s="48" t="n"/>
      <c r="AB295" s="179" t="n"/>
      <c r="AC295" s="189" t="n"/>
      <c r="AD295" s="189">
        <f>SUM(AB295:AC295)</f>
        <v/>
      </c>
      <c r="AE295" s="189">
        <f>AB295*$O295</f>
        <v/>
      </c>
      <c r="AF295" s="189">
        <f>AC295*$O295</f>
        <v/>
      </c>
      <c r="AG295" s="189">
        <f>SUM(AE295:AF295)</f>
        <v/>
      </c>
      <c r="AH295" s="182" t="n"/>
    </row>
    <row r="296" outlineLevel="1" ht="25.5" customHeight="1">
      <c r="A296" s="18" t="inlineStr">
        <is>
          <t>О</t>
        </is>
      </c>
      <c r="B296" s="11">
        <f>IF($K296=B$8,1+IF(OFFSET(B296,-1,0)="",0,OFFSET(B296,-1,0)),IF(B$8&lt;$K296,IF(OFFSET(B296,-1,0)="","ERR",OFFSET(B296,-1,0)),""))</f>
        <v/>
      </c>
      <c r="C296" s="11">
        <f>IF($K296=C$8,1+IF(OFFSET(C296,-1,0)="",0,OFFSET(C296,-1,0)),IF(C$8&lt;$K296,IF(OFFSET(C296,-1,0)="","ERR",OFFSET(C296,-1,0)),""))</f>
        <v/>
      </c>
      <c r="D296" s="11">
        <f>IF($K296=D$8,1+IF(OFFSET(D296,-1,0)="",0,OFFSET(D296,-1,0)),IF(D$8&lt;$K296,IF(OFFSET(D296,-1,0)="","ERR",OFFSET(D296,-1,0)),""))</f>
        <v/>
      </c>
      <c r="E296" s="11">
        <f>IF($K296=E$8,1+IF(OFFSET(E296,-1,0)="",0,OFFSET(E296,-1,0)),IF(E$8&lt;$K296,IF(OFFSET(E296,-1,0)="","ERR",OFFSET(E296,-1,0)),""))</f>
        <v/>
      </c>
      <c r="F296" s="11">
        <f>IF($K296=F$8,1+IF(OFFSET(F296,-1,0)="",0,OFFSET(F296,-1,0)),IF(F$8&lt;$K296,IF(OFFSET(F296,-1,0)="","ERR",OFFSET(F296,-1,0)),""))</f>
        <v/>
      </c>
      <c r="G296" s="11">
        <f>IF($K296=G$8,1+IF(OFFSET(G296,-1,0)="",0,OFFSET(G296,-1,0)),IF(G$8&lt;$K296,IF(OFFSET(G296,-1,0)="","ERR",OFFSET(G296,-1,0)),""))</f>
        <v/>
      </c>
      <c r="H296" s="11">
        <f>IF($K296=H$8,1+IF(OFFSET(H296,-1,0)="",0,OFFSET(H296,-1,0)),IF(H$8&lt;$K296,IF(OFFSET(H296,-1,0)="","ERR",OFFSET(H296,-1,0)),""))</f>
        <v/>
      </c>
      <c r="I296" s="11">
        <f>IF($K296=I$8,1+IF(OFFSET(I296,-1,0)="",0,OFFSET(I296,-1,0)),IF(I$8&lt;$K296,IF(OFFSET(I296,-1,0)="","ERR",OFFSET(I296,-1,0)),""))</f>
        <v/>
      </c>
      <c r="J296" s="46">
        <f>_xlfn.TEXTJOIN(".",1,B296:I296)</f>
        <v/>
      </c>
      <c r="K296" s="46" t="inlineStr">
        <is>
          <t>Л6</t>
        </is>
      </c>
      <c r="L296" s="46" t="inlineStr">
        <is>
          <t>3.3.3.12.2.23</t>
        </is>
      </c>
      <c r="M296" s="47" t="inlineStr">
        <is>
          <t>Карта- ключ, включая программирование: Идентификатор дальнего действия для работы с UHF-считывателем, AT110, RUSGUARD</t>
        </is>
      </c>
      <c r="N296" s="46" t="inlineStr">
        <is>
          <t>шт</t>
        </is>
      </c>
      <c r="O296" s="94">
        <f>P296+Q296+S296+V296</f>
        <v/>
      </c>
      <c r="P296" s="46" t="n">
        <v>853</v>
      </c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8" t="n"/>
      <c r="AB296" s="179" t="n"/>
      <c r="AC296" s="180" t="n"/>
      <c r="AD296" s="189">
        <f>SUM(AB296:AC296)</f>
        <v/>
      </c>
      <c r="AE296" s="189">
        <f>AB296*$O296</f>
        <v/>
      </c>
      <c r="AF296" s="189">
        <f>AC296*$O296</f>
        <v/>
      </c>
      <c r="AG296" s="189">
        <f>SUM(AE296:AF296)</f>
        <v/>
      </c>
      <c r="AH296" s="182" t="n"/>
    </row>
    <row r="297" outlineLevel="1">
      <c r="A297" s="18" t="inlineStr">
        <is>
          <t>О</t>
        </is>
      </c>
      <c r="B297" s="11">
        <f>IF($K297=B$8,1+IF(OFFSET(B297,-1,0)="",0,OFFSET(B297,-1,0)),IF(B$8&lt;$K297,IF(OFFSET(B297,-1,0)="","ERR",OFFSET(B297,-1,0)),""))</f>
        <v/>
      </c>
      <c r="C297" s="11">
        <f>IF($K297=C$8,1+IF(OFFSET(C297,-1,0)="",0,OFFSET(C297,-1,0)),IF(C$8&lt;$K297,IF(OFFSET(C297,-1,0)="","ERR",OFFSET(C297,-1,0)),""))</f>
        <v/>
      </c>
      <c r="D297" s="11">
        <f>IF($K297=D$8,1+IF(OFFSET(D297,-1,0)="",0,OFFSET(D297,-1,0)),IF(D$8&lt;$K297,IF(OFFSET(D297,-1,0)="","ERR",OFFSET(D297,-1,0)),""))</f>
        <v/>
      </c>
      <c r="E297" s="11">
        <f>IF($K297=E$8,1+IF(OFFSET(E297,-1,0)="",0,OFFSET(E297,-1,0)),IF(E$8&lt;$K297,IF(OFFSET(E297,-1,0)="","ERR",OFFSET(E297,-1,0)),""))</f>
        <v/>
      </c>
      <c r="F297" s="11">
        <f>IF($K297=F$8,1+IF(OFFSET(F297,-1,0)="",0,OFFSET(F297,-1,0)),IF(F$8&lt;$K297,IF(OFFSET(F297,-1,0)="","ERR",OFFSET(F297,-1,0)),""))</f>
        <v/>
      </c>
      <c r="G297" s="11">
        <f>IF($K297=G$8,1+IF(OFFSET(G297,-1,0)="",0,OFFSET(G297,-1,0)),IF(G$8&lt;$K297,IF(OFFSET(G297,-1,0)="","ERR",OFFSET(G297,-1,0)),""))</f>
        <v/>
      </c>
      <c r="H297" s="11">
        <f>IF($K297=H$8,1+IF(OFFSET(H297,-1,0)="",0,OFFSET(H297,-1,0)),IF(H$8&lt;$K297,IF(OFFSET(H297,-1,0)="","ERR",OFFSET(H297,-1,0)),""))</f>
        <v/>
      </c>
      <c r="I297" s="11">
        <f>IF($K297=I$8,1+IF(OFFSET(I297,-1,0)="",0,OFFSET(I297,-1,0)),IF(I$8&lt;$K297,IF(OFFSET(I297,-1,0)="","ERR",OFFSET(I297,-1,0)),""))</f>
        <v/>
      </c>
      <c r="J297" s="46">
        <f>_xlfn.TEXTJOIN(".",1,B297:I297)</f>
        <v/>
      </c>
      <c r="K297" s="46" t="inlineStr">
        <is>
          <t>Л6</t>
        </is>
      </c>
      <c r="L297" s="46" t="inlineStr">
        <is>
          <t>3.3.3.12.2.25</t>
        </is>
      </c>
      <c r="M297" s="47" t="inlineStr">
        <is>
          <t>Монтаж сетевого удлинителя с PoE: Удлинитель Ethernet, RVi-1NE10-2FP, RVI</t>
        </is>
      </c>
      <c r="N297" s="46" t="inlineStr">
        <is>
          <t>шт</t>
        </is>
      </c>
      <c r="O297" s="94">
        <f>P297+Q297+S297+V297</f>
        <v/>
      </c>
      <c r="P297" s="46" t="n"/>
      <c r="Q297" s="46" t="n">
        <v>10</v>
      </c>
      <c r="R297" s="46" t="n">
        <v>10</v>
      </c>
      <c r="S297" s="46" t="n"/>
      <c r="T297" s="46" t="n"/>
      <c r="U297" s="46" t="n">
        <v>6</v>
      </c>
      <c r="V297" s="46" t="n">
        <v>6</v>
      </c>
      <c r="W297" s="46" t="n"/>
      <c r="X297" s="46" t="n"/>
      <c r="Y297" s="46" t="n"/>
      <c r="Z297" s="46" t="n"/>
      <c r="AA297" s="48" t="n"/>
      <c r="AB297" s="179" t="n"/>
      <c r="AC297" s="180" t="n"/>
      <c r="AD297" s="189">
        <f>SUM(AB297:AC297)</f>
        <v/>
      </c>
      <c r="AE297" s="189">
        <f>AB297*$O297</f>
        <v/>
      </c>
      <c r="AF297" s="189">
        <f>AC297*$O297</f>
        <v/>
      </c>
      <c r="AG297" s="189">
        <f>SUM(AE297:AF297)</f>
        <v/>
      </c>
      <c r="AH297" s="182" t="n"/>
    </row>
    <row r="298" outlineLevel="1">
      <c r="A298" s="18" t="n"/>
      <c r="B298" s="11">
        <f>IF($K298=B$8,1+IF(OFFSET(B298,-1,0)="",0,OFFSET(B298,-1,0)),IF(B$8&lt;$K298,IF(OFFSET(B298,-1,0)="","ERR",OFFSET(B298,-1,0)),""))</f>
        <v/>
      </c>
      <c r="C298" s="11">
        <f>IF($K298=C$8,1+IF(OFFSET(C298,-1,0)="",0,OFFSET(C298,-1,0)),IF(C$8&lt;$K298,IF(OFFSET(C298,-1,0)="","ERR",OFFSET(C298,-1,0)),""))</f>
        <v/>
      </c>
      <c r="D298" s="11">
        <f>IF($K298=D$8,1+IF(OFFSET(D298,-1,0)="",0,OFFSET(D298,-1,0)),IF(D$8&lt;$K298,IF(OFFSET(D298,-1,0)="","ERR",OFFSET(D298,-1,0)),""))</f>
        <v/>
      </c>
      <c r="E298" s="11">
        <f>IF($K298=E$8,1+IF(OFFSET(E298,-1,0)="",0,OFFSET(E298,-1,0)),IF(E$8&lt;$K298,IF(OFFSET(E298,-1,0)="","ERR",OFFSET(E298,-1,0)),""))</f>
        <v/>
      </c>
      <c r="F298" s="11">
        <f>IF($K298=F$8,1+IF(OFFSET(F298,-1,0)="",0,OFFSET(F298,-1,0)),IF(F$8&lt;$K298,IF(OFFSET(F298,-1,0)="","ERR",OFFSET(F298,-1,0)),""))</f>
        <v/>
      </c>
      <c r="G298" s="11">
        <f>IF($K298=G$8,1+IF(OFFSET(G298,-1,0)="",0,OFFSET(G298,-1,0)),IF(G$8&lt;$K298,IF(OFFSET(G298,-1,0)="","ERR",OFFSET(G298,-1,0)),""))</f>
        <v/>
      </c>
      <c r="H298" s="11">
        <f>IF($K298=H$8,1+IF(OFFSET(H298,-1,0)="",0,OFFSET(H298,-1,0)),IF(H$8&lt;$K298,IF(OFFSET(H298,-1,0)="","ERR",OFFSET(H298,-1,0)),""))</f>
        <v/>
      </c>
      <c r="I298" s="11">
        <f>IF($K298=I$8,1+IF(OFFSET(I298,-1,0)="",0,OFFSET(I298,-1,0)),IF(I$8&lt;$K298,IF(OFFSET(I298,-1,0)="","ERR",OFFSET(I298,-1,0)),""))</f>
        <v/>
      </c>
      <c r="J298" s="43">
        <f>_xlfn.TEXTJOIN(".",1,B298:I298)</f>
        <v/>
      </c>
      <c r="K298" s="43" t="inlineStr">
        <is>
          <t>Л5</t>
        </is>
      </c>
      <c r="L298" s="43" t="inlineStr">
        <is>
          <t>3.3.3.12.3</t>
        </is>
      </c>
      <c r="M298" s="44" t="inlineStr">
        <is>
          <t>Кабельно-проводниковая продукция</t>
        </is>
      </c>
      <c r="N298" s="43" t="n"/>
      <c r="O298" s="9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5" t="n"/>
      <c r="AB298" s="185" t="n"/>
      <c r="AC298" s="186" t="n"/>
      <c r="AD298" s="186" t="n"/>
      <c r="AE298" s="186" t="n"/>
      <c r="AF298" s="186" t="n"/>
      <c r="AG298" s="186" t="n"/>
      <c r="AH298" s="178" t="n"/>
    </row>
    <row r="299" outlineLevel="1" ht="25.5" customHeight="1">
      <c r="A299" s="18" t="inlineStr">
        <is>
          <t>О</t>
        </is>
      </c>
      <c r="B299" s="11">
        <f>IF($K299=B$8,1+IF(OFFSET(B299,-1,0)="",0,OFFSET(B299,-1,0)),IF(B$8&lt;$K299,IF(OFFSET(B299,-1,0)="","ERR",OFFSET(B299,-1,0)),""))</f>
        <v/>
      </c>
      <c r="C299" s="11">
        <f>IF($K299=C$8,1+IF(OFFSET(C299,-1,0)="",0,OFFSET(C299,-1,0)),IF(C$8&lt;$K299,IF(OFFSET(C299,-1,0)="","ERR",OFFSET(C299,-1,0)),""))</f>
        <v/>
      </c>
      <c r="D299" s="11">
        <f>IF($K299=D$8,1+IF(OFFSET(D299,-1,0)="",0,OFFSET(D299,-1,0)),IF(D$8&lt;$K299,IF(OFFSET(D299,-1,0)="","ERR",OFFSET(D299,-1,0)),""))</f>
        <v/>
      </c>
      <c r="E299" s="11">
        <f>IF($K299=E$8,1+IF(OFFSET(E299,-1,0)="",0,OFFSET(E299,-1,0)),IF(E$8&lt;$K299,IF(OFFSET(E299,-1,0)="","ERR",OFFSET(E299,-1,0)),""))</f>
        <v/>
      </c>
      <c r="F299" s="11">
        <f>IF($K299=F$8,1+IF(OFFSET(F299,-1,0)="",0,OFFSET(F299,-1,0)),IF(F$8&lt;$K299,IF(OFFSET(F299,-1,0)="","ERR",OFFSET(F299,-1,0)),""))</f>
        <v/>
      </c>
      <c r="G299" s="11">
        <f>IF($K299=G$8,1+IF(OFFSET(G299,-1,0)="",0,OFFSET(G299,-1,0)),IF(G$8&lt;$K299,IF(OFFSET(G299,-1,0)="","ERR",OFFSET(G299,-1,0)),""))</f>
        <v/>
      </c>
      <c r="H299" s="11">
        <f>IF($K299=H$8,1+IF(OFFSET(H299,-1,0)="",0,OFFSET(H299,-1,0)),IF(H$8&lt;$K299,IF(OFFSET(H299,-1,0)="","ERR",OFFSET(H299,-1,0)),""))</f>
        <v/>
      </c>
      <c r="I299" s="11">
        <f>IF($K299=I$8,1+IF(OFFSET(I299,-1,0)="",0,OFFSET(I299,-1,0)),IF(I$8&lt;$K299,IF(OFFSET(I299,-1,0)="","ERR",OFFSET(I299,-1,0)),""))</f>
        <v/>
      </c>
      <c r="J299" s="46">
        <f>_xlfn.TEXTJOIN(".",1,B299:I299)</f>
        <v/>
      </c>
      <c r="K299" s="46" t="inlineStr">
        <is>
          <t>Л6</t>
        </is>
      </c>
      <c r="L299" s="46" t="inlineStr">
        <is>
          <t>3.3.3.12.3.1</t>
        </is>
      </c>
      <c r="M299" s="47" t="inlineStr">
        <is>
          <t>Прокладка кабеля/провода слаботочных систем и автоматики по конструкциям и в трубах здания: Parlan U/UTP Cat5e ZH нг(А)-HF 4х2х0,52</t>
        </is>
      </c>
      <c r="N299" s="46" t="inlineStr">
        <is>
          <t>пог. м</t>
        </is>
      </c>
      <c r="O299" s="94">
        <f>P299+Q299+S299+V299</f>
        <v/>
      </c>
      <c r="P299" s="46" t="n"/>
      <c r="Q299" s="46">
        <f>260+3370</f>
        <v/>
      </c>
      <c r="R299" s="46">
        <f>260+3370</f>
        <v/>
      </c>
      <c r="S299" s="46">
        <f>200+2755</f>
        <v/>
      </c>
      <c r="T299" s="46">
        <f>200+2755</f>
        <v/>
      </c>
      <c r="U299" s="46">
        <f>125+2790</f>
        <v/>
      </c>
      <c r="V299" s="46">
        <f>125+2790</f>
        <v/>
      </c>
      <c r="W299" s="46" t="n"/>
      <c r="X299" s="46" t="n"/>
      <c r="Y299" s="46" t="n"/>
      <c r="Z299" s="46" t="n"/>
      <c r="AA299" s="48" t="n"/>
      <c r="AB299" s="179" t="n"/>
      <c r="AC299" s="180" t="n"/>
      <c r="AD299" s="189">
        <f>SUM(AB299:AC299)</f>
        <v/>
      </c>
      <c r="AE299" s="189">
        <f>AB299*$O299</f>
        <v/>
      </c>
      <c r="AF299" s="189">
        <f>AC299*$O299</f>
        <v/>
      </c>
      <c r="AG299" s="189">
        <f>SUM(AE299:AF299)</f>
        <v/>
      </c>
      <c r="AH299" s="182" t="n"/>
    </row>
    <row r="300" outlineLevel="1" ht="25.5" customHeight="1">
      <c r="A300" s="18" t="inlineStr">
        <is>
          <t>О</t>
        </is>
      </c>
      <c r="B300" s="11">
        <f>IF($K300=B$8,1+IF(OFFSET(B300,-1,0)="",0,OFFSET(B300,-1,0)),IF(B$8&lt;$K300,IF(OFFSET(B300,-1,0)="","ERR",OFFSET(B300,-1,0)),""))</f>
        <v/>
      </c>
      <c r="C300" s="11">
        <f>IF($K300=C$8,1+IF(OFFSET(C300,-1,0)="",0,OFFSET(C300,-1,0)),IF(C$8&lt;$K300,IF(OFFSET(C300,-1,0)="","ERR",OFFSET(C300,-1,0)),""))</f>
        <v/>
      </c>
      <c r="D300" s="11">
        <f>IF($K300=D$8,1+IF(OFFSET(D300,-1,0)="",0,OFFSET(D300,-1,0)),IF(D$8&lt;$K300,IF(OFFSET(D300,-1,0)="","ERR",OFFSET(D300,-1,0)),""))</f>
        <v/>
      </c>
      <c r="E300" s="11">
        <f>IF($K300=E$8,1+IF(OFFSET(E300,-1,0)="",0,OFFSET(E300,-1,0)),IF(E$8&lt;$K300,IF(OFFSET(E300,-1,0)="","ERR",OFFSET(E300,-1,0)),""))</f>
        <v/>
      </c>
      <c r="F300" s="11">
        <f>IF($K300=F$8,1+IF(OFFSET(F300,-1,0)="",0,OFFSET(F300,-1,0)),IF(F$8&lt;$K300,IF(OFFSET(F300,-1,0)="","ERR",OFFSET(F300,-1,0)),""))</f>
        <v/>
      </c>
      <c r="G300" s="11">
        <f>IF($K300=G$8,1+IF(OFFSET(G300,-1,0)="",0,OFFSET(G300,-1,0)),IF(G$8&lt;$K300,IF(OFFSET(G300,-1,0)="","ERR",OFFSET(G300,-1,0)),""))</f>
        <v/>
      </c>
      <c r="H300" s="11">
        <f>IF($K300=H$8,1+IF(OFFSET(H300,-1,0)="",0,OFFSET(H300,-1,0)),IF(H$8&lt;$K300,IF(OFFSET(H300,-1,0)="","ERR",OFFSET(H300,-1,0)),""))</f>
        <v/>
      </c>
      <c r="I300" s="11">
        <f>IF($K300=I$8,1+IF(OFFSET(I300,-1,0)="",0,OFFSET(I300,-1,0)),IF(I$8&lt;$K300,IF(OFFSET(I300,-1,0)="","ERR",OFFSET(I300,-1,0)),""))</f>
        <v/>
      </c>
      <c r="J300" s="46">
        <f>_xlfn.TEXTJOIN(".",1,B300:I300)</f>
        <v/>
      </c>
      <c r="K300" s="46" t="inlineStr">
        <is>
          <t>Л6</t>
        </is>
      </c>
      <c r="L300" s="46" t="inlineStr">
        <is>
          <t>3.3.3.12.3.1</t>
        </is>
      </c>
      <c r="M300" s="47" t="inlineStr">
        <is>
          <t>Прокладка кабеля/провода слаботочных систем и автоматики по конструкциям и в трубах здания: КСПВПнг(А)-HF 1х2х0,97</t>
        </is>
      </c>
      <c r="N300" s="46" t="inlineStr">
        <is>
          <t>пог. м</t>
        </is>
      </c>
      <c r="O300" s="94">
        <f>P300+Q300+S300+V300</f>
        <v/>
      </c>
      <c r="P300" s="46" t="n"/>
      <c r="Q300" s="46" t="n">
        <v>933</v>
      </c>
      <c r="R300" s="46" t="n">
        <v>933</v>
      </c>
      <c r="S300" s="46" t="n">
        <v>1356</v>
      </c>
      <c r="T300" s="46" t="n">
        <v>1356</v>
      </c>
      <c r="U300" s="46" t="n">
        <v>1205</v>
      </c>
      <c r="V300" s="46" t="n">
        <v>1205</v>
      </c>
      <c r="W300" s="46" t="n"/>
      <c r="X300" s="46" t="n"/>
      <c r="Y300" s="46" t="n"/>
      <c r="Z300" s="46" t="n"/>
      <c r="AA300" s="48" t="n"/>
      <c r="AB300" s="179" t="n"/>
      <c r="AC300" s="180" t="n"/>
      <c r="AD300" s="189">
        <f>SUM(AB300:AC300)</f>
        <v/>
      </c>
      <c r="AE300" s="189">
        <f>AB300*$O300</f>
        <v/>
      </c>
      <c r="AF300" s="189">
        <f>AC300*$O300</f>
        <v/>
      </c>
      <c r="AG300" s="189">
        <f>SUM(AE300:AF300)</f>
        <v/>
      </c>
      <c r="AH300" s="182" t="n"/>
    </row>
    <row r="301" outlineLevel="1" ht="25.5" customHeight="1">
      <c r="A301" s="18" t="inlineStr">
        <is>
          <t>О</t>
        </is>
      </c>
      <c r="B301" s="11">
        <f>IF($K301=B$8,1+IF(OFFSET(B301,-1,0)="",0,OFFSET(B301,-1,0)),IF(B$8&lt;$K301,IF(OFFSET(B301,-1,0)="","ERR",OFFSET(B301,-1,0)),""))</f>
        <v/>
      </c>
      <c r="C301" s="11">
        <f>IF($K301=C$8,1+IF(OFFSET(C301,-1,0)="",0,OFFSET(C301,-1,0)),IF(C$8&lt;$K301,IF(OFFSET(C301,-1,0)="","ERR",OFFSET(C301,-1,0)),""))</f>
        <v/>
      </c>
      <c r="D301" s="11">
        <f>IF($K301=D$8,1+IF(OFFSET(D301,-1,0)="",0,OFFSET(D301,-1,0)),IF(D$8&lt;$K301,IF(OFFSET(D301,-1,0)="","ERR",OFFSET(D301,-1,0)),""))</f>
        <v/>
      </c>
      <c r="E301" s="11">
        <f>IF($K301=E$8,1+IF(OFFSET(E301,-1,0)="",0,OFFSET(E301,-1,0)),IF(E$8&lt;$K301,IF(OFFSET(E301,-1,0)="","ERR",OFFSET(E301,-1,0)),""))</f>
        <v/>
      </c>
      <c r="F301" s="11">
        <f>IF($K301=F$8,1+IF(OFFSET(F301,-1,0)="",0,OFFSET(F301,-1,0)),IF(F$8&lt;$K301,IF(OFFSET(F301,-1,0)="","ERR",OFFSET(F301,-1,0)),""))</f>
        <v/>
      </c>
      <c r="G301" s="11">
        <f>IF($K301=G$8,1+IF(OFFSET(G301,-1,0)="",0,OFFSET(G301,-1,0)),IF(G$8&lt;$K301,IF(OFFSET(G301,-1,0)="","ERR",OFFSET(G301,-1,0)),""))</f>
        <v/>
      </c>
      <c r="H301" s="11">
        <f>IF($K301=H$8,1+IF(OFFSET(H301,-1,0)="",0,OFFSET(H301,-1,0)),IF(H$8&lt;$K301,IF(OFFSET(H301,-1,0)="","ERR",OFFSET(H301,-1,0)),""))</f>
        <v/>
      </c>
      <c r="I301" s="11">
        <f>IF($K301=I$8,1+IF(OFFSET(I301,-1,0)="",0,OFFSET(I301,-1,0)),IF(I$8&lt;$K301,IF(OFFSET(I301,-1,0)="","ERR",OFFSET(I301,-1,0)),""))</f>
        <v/>
      </c>
      <c r="J301" s="46">
        <f>_xlfn.TEXTJOIN(".",1,B301:I301)</f>
        <v/>
      </c>
      <c r="K301" s="46" t="inlineStr">
        <is>
          <t>Л6</t>
        </is>
      </c>
      <c r="L301" s="46" t="inlineStr">
        <is>
          <t>3.3.3.12.3.1</t>
        </is>
      </c>
      <c r="M301" s="47" t="inlineStr">
        <is>
          <t>Прокладка кабеля/провода слаботочных систем и автоматики по конструкциям и в трубах здания: КСПВПнг(А)-HF 1х2х0,8</t>
        </is>
      </c>
      <c r="N301" s="46" t="inlineStr">
        <is>
          <t>пог. м</t>
        </is>
      </c>
      <c r="O301" s="94">
        <f>P301+Q301+S301+V301</f>
        <v/>
      </c>
      <c r="P301" s="46" t="n"/>
      <c r="Q301" s="46" t="n">
        <v>530</v>
      </c>
      <c r="R301" s="46" t="n">
        <v>530</v>
      </c>
      <c r="S301" s="46" t="n">
        <v>702</v>
      </c>
      <c r="T301" s="46" t="n">
        <v>702</v>
      </c>
      <c r="U301" s="46" t="n">
        <v>622</v>
      </c>
      <c r="V301" s="46" t="n">
        <v>622</v>
      </c>
      <c r="W301" s="46" t="n"/>
      <c r="X301" s="46" t="n"/>
      <c r="Y301" s="46" t="n"/>
      <c r="Z301" s="46" t="n"/>
      <c r="AA301" s="48" t="n"/>
      <c r="AB301" s="179" t="n"/>
      <c r="AC301" s="180" t="n"/>
      <c r="AD301" s="189">
        <f>SUM(AB301:AC301)</f>
        <v/>
      </c>
      <c r="AE301" s="189">
        <f>AB301*$O301</f>
        <v/>
      </c>
      <c r="AF301" s="189">
        <f>AC301*$O301</f>
        <v/>
      </c>
      <c r="AG301" s="189">
        <f>SUM(AE301:AF301)</f>
        <v/>
      </c>
      <c r="AH301" s="182" t="n"/>
    </row>
    <row r="302" outlineLevel="1" ht="25.5" customHeight="1">
      <c r="A302" s="18" t="inlineStr">
        <is>
          <t>О</t>
        </is>
      </c>
      <c r="B302" s="11">
        <f>IF($K302=B$8,1+IF(OFFSET(B302,-1,0)="",0,OFFSET(B302,-1,0)),IF(B$8&lt;$K302,IF(OFFSET(B302,-1,0)="","ERR",OFFSET(B302,-1,0)),""))</f>
        <v/>
      </c>
      <c r="C302" s="11">
        <f>IF($K302=C$8,1+IF(OFFSET(C302,-1,0)="",0,OFFSET(C302,-1,0)),IF(C$8&lt;$K302,IF(OFFSET(C302,-1,0)="","ERR",OFFSET(C302,-1,0)),""))</f>
        <v/>
      </c>
      <c r="D302" s="11">
        <f>IF($K302=D$8,1+IF(OFFSET(D302,-1,0)="",0,OFFSET(D302,-1,0)),IF(D$8&lt;$K302,IF(OFFSET(D302,-1,0)="","ERR",OFFSET(D302,-1,0)),""))</f>
        <v/>
      </c>
      <c r="E302" s="11">
        <f>IF($K302=E$8,1+IF(OFFSET(E302,-1,0)="",0,OFFSET(E302,-1,0)),IF(E$8&lt;$K302,IF(OFFSET(E302,-1,0)="","ERR",OFFSET(E302,-1,0)),""))</f>
        <v/>
      </c>
      <c r="F302" s="11">
        <f>IF($K302=F$8,1+IF(OFFSET(F302,-1,0)="",0,OFFSET(F302,-1,0)),IF(F$8&lt;$K302,IF(OFFSET(F302,-1,0)="","ERR",OFFSET(F302,-1,0)),""))</f>
        <v/>
      </c>
      <c r="G302" s="11">
        <f>IF($K302=G$8,1+IF(OFFSET(G302,-1,0)="",0,OFFSET(G302,-1,0)),IF(G$8&lt;$K302,IF(OFFSET(G302,-1,0)="","ERR",OFFSET(G302,-1,0)),""))</f>
        <v/>
      </c>
      <c r="H302" s="11">
        <f>IF($K302=H$8,1+IF(OFFSET(H302,-1,0)="",0,OFFSET(H302,-1,0)),IF(H$8&lt;$K302,IF(OFFSET(H302,-1,0)="","ERR",OFFSET(H302,-1,0)),""))</f>
        <v/>
      </c>
      <c r="I302" s="11">
        <f>IF($K302=I$8,1+IF(OFFSET(I302,-1,0)="",0,OFFSET(I302,-1,0)),IF(I$8&lt;$K302,IF(OFFSET(I302,-1,0)="","ERR",OFFSET(I302,-1,0)),""))</f>
        <v/>
      </c>
      <c r="J302" s="46">
        <f>_xlfn.TEXTJOIN(".",1,B302:I302)</f>
        <v/>
      </c>
      <c r="K302" s="46" t="inlineStr">
        <is>
          <t>Л6</t>
        </is>
      </c>
      <c r="L302" s="46" t="inlineStr">
        <is>
          <t>3.3.3.12.3.1</t>
        </is>
      </c>
      <c r="M302" s="47" t="inlineStr">
        <is>
          <t>Прокладка кабеля/провода слаботочных систем и автоматики по конструкциям и в трубах здания: КСПВПнг(А)-HF 2х2х0,8</t>
        </is>
      </c>
      <c r="N302" s="46" t="inlineStr">
        <is>
          <t>пог. м</t>
        </is>
      </c>
      <c r="O302" s="94">
        <f>P302+Q302+S302+V302</f>
        <v/>
      </c>
      <c r="P302" s="46" t="n"/>
      <c r="Q302" s="46" t="n"/>
      <c r="R302" s="46" t="n"/>
      <c r="S302" s="46" t="n">
        <v>150</v>
      </c>
      <c r="T302" s="46" t="n">
        <v>150</v>
      </c>
      <c r="U302" s="46" t="n">
        <v>150</v>
      </c>
      <c r="V302" s="46" t="n">
        <v>150</v>
      </c>
      <c r="W302" s="46" t="n"/>
      <c r="X302" s="46" t="n"/>
      <c r="Y302" s="46" t="n"/>
      <c r="Z302" s="46" t="n"/>
      <c r="AA302" s="48" t="n"/>
      <c r="AB302" s="179" t="n"/>
      <c r="AC302" s="180" t="n"/>
      <c r="AD302" s="189">
        <f>SUM(AB302:AC302)</f>
        <v/>
      </c>
      <c r="AE302" s="189">
        <f>AB302*$O302</f>
        <v/>
      </c>
      <c r="AF302" s="189">
        <f>AC302*$O302</f>
        <v/>
      </c>
      <c r="AG302" s="189">
        <f>SUM(AE302:AF302)</f>
        <v/>
      </c>
      <c r="AH302" s="182" t="n"/>
    </row>
    <row r="303" outlineLevel="1" ht="25.5" customHeight="1">
      <c r="A303" s="18" t="inlineStr">
        <is>
          <t>О</t>
        </is>
      </c>
      <c r="B303" s="11">
        <f>IF($K303=B$8,1+IF(OFFSET(B303,-1,0)="",0,OFFSET(B303,-1,0)),IF(B$8&lt;$K303,IF(OFFSET(B303,-1,0)="","ERR",OFFSET(B303,-1,0)),""))</f>
        <v/>
      </c>
      <c r="C303" s="11">
        <f>IF($K303=C$8,1+IF(OFFSET(C303,-1,0)="",0,OFFSET(C303,-1,0)),IF(C$8&lt;$K303,IF(OFFSET(C303,-1,0)="","ERR",OFFSET(C303,-1,0)),""))</f>
        <v/>
      </c>
      <c r="D303" s="11">
        <f>IF($K303=D$8,1+IF(OFFSET(D303,-1,0)="",0,OFFSET(D303,-1,0)),IF(D$8&lt;$K303,IF(OFFSET(D303,-1,0)="","ERR",OFFSET(D303,-1,0)),""))</f>
        <v/>
      </c>
      <c r="E303" s="11">
        <f>IF($K303=E$8,1+IF(OFFSET(E303,-1,0)="",0,OFFSET(E303,-1,0)),IF(E$8&lt;$K303,IF(OFFSET(E303,-1,0)="","ERR",OFFSET(E303,-1,0)),""))</f>
        <v/>
      </c>
      <c r="F303" s="11">
        <f>IF($K303=F$8,1+IF(OFFSET(F303,-1,0)="",0,OFFSET(F303,-1,0)),IF(F$8&lt;$K303,IF(OFFSET(F303,-1,0)="","ERR",OFFSET(F303,-1,0)),""))</f>
        <v/>
      </c>
      <c r="G303" s="11">
        <f>IF($K303=G$8,1+IF(OFFSET(G303,-1,0)="",0,OFFSET(G303,-1,0)),IF(G$8&lt;$K303,IF(OFFSET(G303,-1,0)="","ERR",OFFSET(G303,-1,0)),""))</f>
        <v/>
      </c>
      <c r="H303" s="11">
        <f>IF($K303=H$8,1+IF(OFFSET(H303,-1,0)="",0,OFFSET(H303,-1,0)),IF(H$8&lt;$K303,IF(OFFSET(H303,-1,0)="","ERR",OFFSET(H303,-1,0)),""))</f>
        <v/>
      </c>
      <c r="I303" s="11">
        <f>IF($K303=I$8,1+IF(OFFSET(I303,-1,0)="",0,OFFSET(I303,-1,0)),IF(I$8&lt;$K303,IF(OFFSET(I303,-1,0)="","ERR",OFFSET(I303,-1,0)),""))</f>
        <v/>
      </c>
      <c r="J303" s="46">
        <f>_xlfn.TEXTJOIN(".",1,B303:I303)</f>
        <v/>
      </c>
      <c r="K303" s="46" t="inlineStr">
        <is>
          <t>Л6</t>
        </is>
      </c>
      <c r="L303" s="46" t="inlineStr">
        <is>
          <t>3.3.3.12.3.1</t>
        </is>
      </c>
      <c r="M303" s="47" t="inlineStr">
        <is>
          <t>Прокладка кабеля/провода слаботочных систем и автоматики по конструкциям и в трубах здания: МКШнг(A)-HF 2х0,5</t>
        </is>
      </c>
      <c r="N303" s="46" t="inlineStr">
        <is>
          <t>пог. м</t>
        </is>
      </c>
      <c r="O303" s="94">
        <f>P303+Q303+S303+V303</f>
        <v/>
      </c>
      <c r="P303" s="46" t="n"/>
      <c r="Q303" s="46" t="n">
        <v>90</v>
      </c>
      <c r="R303" s="46" t="n">
        <v>90</v>
      </c>
      <c r="S303" s="46" t="n">
        <v>105</v>
      </c>
      <c r="T303" s="46" t="n">
        <v>105</v>
      </c>
      <c r="U303" s="46" t="n">
        <v>105</v>
      </c>
      <c r="V303" s="46" t="n">
        <v>105</v>
      </c>
      <c r="W303" s="46" t="n"/>
      <c r="X303" s="46" t="n"/>
      <c r="Y303" s="46" t="n"/>
      <c r="Z303" s="46" t="n"/>
      <c r="AA303" s="48" t="n"/>
      <c r="AB303" s="179" t="n"/>
      <c r="AC303" s="180" t="n"/>
      <c r="AD303" s="189">
        <f>SUM(AB303:AC303)</f>
        <v/>
      </c>
      <c r="AE303" s="189">
        <f>AB303*$O303</f>
        <v/>
      </c>
      <c r="AF303" s="189">
        <f>AC303*$O303</f>
        <v/>
      </c>
      <c r="AG303" s="189">
        <f>SUM(AE303:AF303)</f>
        <v/>
      </c>
      <c r="AH303" s="182" t="n"/>
    </row>
    <row r="304" outlineLevel="1" ht="25.5" customHeight="1">
      <c r="A304" s="18" t="inlineStr">
        <is>
          <t>О</t>
        </is>
      </c>
      <c r="B304" s="11">
        <f>IF($K304=B$8,1+IF(OFFSET(B304,-1,0)="",0,OFFSET(B304,-1,0)),IF(B$8&lt;$K304,IF(OFFSET(B304,-1,0)="","ERR",OFFSET(B304,-1,0)),""))</f>
        <v/>
      </c>
      <c r="C304" s="11">
        <f>IF($K304=C$8,1+IF(OFFSET(C304,-1,0)="",0,OFFSET(C304,-1,0)),IF(C$8&lt;$K304,IF(OFFSET(C304,-1,0)="","ERR",OFFSET(C304,-1,0)),""))</f>
        <v/>
      </c>
      <c r="D304" s="11">
        <f>IF($K304=D$8,1+IF(OFFSET(D304,-1,0)="",0,OFFSET(D304,-1,0)),IF(D$8&lt;$K304,IF(OFFSET(D304,-1,0)="","ERR",OFFSET(D304,-1,0)),""))</f>
        <v/>
      </c>
      <c r="E304" s="11">
        <f>IF($K304=E$8,1+IF(OFFSET(E304,-1,0)="",0,OFFSET(E304,-1,0)),IF(E$8&lt;$K304,IF(OFFSET(E304,-1,0)="","ERR",OFFSET(E304,-1,0)),""))</f>
        <v/>
      </c>
      <c r="F304" s="11">
        <f>IF($K304=F$8,1+IF(OFFSET(F304,-1,0)="",0,OFFSET(F304,-1,0)),IF(F$8&lt;$K304,IF(OFFSET(F304,-1,0)="","ERR",OFFSET(F304,-1,0)),""))</f>
        <v/>
      </c>
      <c r="G304" s="11">
        <f>IF($K304=G$8,1+IF(OFFSET(G304,-1,0)="",0,OFFSET(G304,-1,0)),IF(G$8&lt;$K304,IF(OFFSET(G304,-1,0)="","ERR",OFFSET(G304,-1,0)),""))</f>
        <v/>
      </c>
      <c r="H304" s="11">
        <f>IF($K304=H$8,1+IF(OFFSET(H304,-1,0)="",0,OFFSET(H304,-1,0)),IF(H$8&lt;$K304,IF(OFFSET(H304,-1,0)="","ERR",OFFSET(H304,-1,0)),""))</f>
        <v/>
      </c>
      <c r="I304" s="11">
        <f>IF($K304=I$8,1+IF(OFFSET(I304,-1,0)="",0,OFFSET(I304,-1,0)),IF(I$8&lt;$K304,IF(OFFSET(I304,-1,0)="","ERR",OFFSET(I304,-1,0)),""))</f>
        <v/>
      </c>
      <c r="J304" s="46">
        <f>_xlfn.TEXTJOIN(".",1,B304:I304)</f>
        <v/>
      </c>
      <c r="K304" s="46" t="inlineStr">
        <is>
          <t>Л6</t>
        </is>
      </c>
      <c r="L304" s="46" t="inlineStr">
        <is>
          <t>3.3.3.12.3.1</t>
        </is>
      </c>
      <c r="M304" s="47" t="inlineStr">
        <is>
          <t>Прокладка кабеля/провода слаботочных систем и автоматики по конструкциям и в трубах здания: МКШнг(A)-HF 3х0,5</t>
        </is>
      </c>
      <c r="N304" s="46" t="inlineStr">
        <is>
          <t>пог. м</t>
        </is>
      </c>
      <c r="O304" s="94">
        <f>P304+Q304+S304+V304</f>
        <v/>
      </c>
      <c r="P304" s="46" t="n"/>
      <c r="Q304" s="46" t="n">
        <v>15</v>
      </c>
      <c r="R304" s="46" t="n">
        <v>15</v>
      </c>
      <c r="S304" s="46" t="n">
        <v>25</v>
      </c>
      <c r="T304" s="46" t="n">
        <v>25</v>
      </c>
      <c r="U304" s="46" t="n">
        <v>26</v>
      </c>
      <c r="V304" s="46" t="n">
        <v>26</v>
      </c>
      <c r="W304" s="46" t="n"/>
      <c r="X304" s="46" t="n"/>
      <c r="Y304" s="46" t="n"/>
      <c r="Z304" s="46" t="n"/>
      <c r="AA304" s="48" t="n"/>
      <c r="AB304" s="179" t="n"/>
      <c r="AC304" s="180" t="n"/>
      <c r="AD304" s="189">
        <f>SUM(AB304:AC304)</f>
        <v/>
      </c>
      <c r="AE304" s="189">
        <f>AB304*$O304</f>
        <v/>
      </c>
      <c r="AF304" s="189">
        <f>AC304*$O304</f>
        <v/>
      </c>
      <c r="AG304" s="189">
        <f>SUM(AE304:AF304)</f>
        <v/>
      </c>
      <c r="AH304" s="182" t="n"/>
    </row>
    <row r="305" outlineLevel="1" ht="25.5" customHeight="1">
      <c r="A305" s="18" t="inlineStr">
        <is>
          <t>О</t>
        </is>
      </c>
      <c r="B305" s="11">
        <f>IF($K305=B$8,1+IF(OFFSET(B305,-1,0)="",0,OFFSET(B305,-1,0)),IF(B$8&lt;$K305,IF(OFFSET(B305,-1,0)="","ERR",OFFSET(B305,-1,0)),""))</f>
        <v/>
      </c>
      <c r="C305" s="11">
        <f>IF($K305=C$8,1+IF(OFFSET(C305,-1,0)="",0,OFFSET(C305,-1,0)),IF(C$8&lt;$K305,IF(OFFSET(C305,-1,0)="","ERR",OFFSET(C305,-1,0)),""))</f>
        <v/>
      </c>
      <c r="D305" s="11">
        <f>IF($K305=D$8,1+IF(OFFSET(D305,-1,0)="",0,OFFSET(D305,-1,0)),IF(D$8&lt;$K305,IF(OFFSET(D305,-1,0)="","ERR",OFFSET(D305,-1,0)),""))</f>
        <v/>
      </c>
      <c r="E305" s="11">
        <f>IF($K305=E$8,1+IF(OFFSET(E305,-1,0)="",0,OFFSET(E305,-1,0)),IF(E$8&lt;$K305,IF(OFFSET(E305,-1,0)="","ERR",OFFSET(E305,-1,0)),""))</f>
        <v/>
      </c>
      <c r="F305" s="11">
        <f>IF($K305=F$8,1+IF(OFFSET(F305,-1,0)="",0,OFFSET(F305,-1,0)),IF(F$8&lt;$K305,IF(OFFSET(F305,-1,0)="","ERR",OFFSET(F305,-1,0)),""))</f>
        <v/>
      </c>
      <c r="G305" s="11">
        <f>IF($K305=G$8,1+IF(OFFSET(G305,-1,0)="",0,OFFSET(G305,-1,0)),IF(G$8&lt;$K305,IF(OFFSET(G305,-1,0)="","ERR",OFFSET(G305,-1,0)),""))</f>
        <v/>
      </c>
      <c r="H305" s="11">
        <f>IF($K305=H$8,1+IF(OFFSET(H305,-1,0)="",0,OFFSET(H305,-1,0)),IF(H$8&lt;$K305,IF(OFFSET(H305,-1,0)="","ERR",OFFSET(H305,-1,0)),""))</f>
        <v/>
      </c>
      <c r="I305" s="11">
        <f>IF($K305=I$8,1+IF(OFFSET(I305,-1,0)="",0,OFFSET(I305,-1,0)),IF(I$8&lt;$K305,IF(OFFSET(I305,-1,0)="","ERR",OFFSET(I305,-1,0)),""))</f>
        <v/>
      </c>
      <c r="J305" s="46">
        <f>_xlfn.TEXTJOIN(".",1,B305:I305)</f>
        <v/>
      </c>
      <c r="K305" s="46" t="inlineStr">
        <is>
          <t>Л6</t>
        </is>
      </c>
      <c r="L305" s="46" t="inlineStr">
        <is>
          <t>3.3.3.12.3.1</t>
        </is>
      </c>
      <c r="M305" s="47" t="inlineStr">
        <is>
          <t>Прокладка кабеля/провода слаботочных систем и автоматики по конструкциям и в трубах здания: КВПнг(А)-HF-5e 1х2х0,52</t>
        </is>
      </c>
      <c r="N305" s="46" t="inlineStr">
        <is>
          <t>пог. м</t>
        </is>
      </c>
      <c r="O305" s="94">
        <f>P305+Q305+S305+V305</f>
        <v/>
      </c>
      <c r="P305" s="46" t="n"/>
      <c r="Q305" s="46" t="n">
        <v>30</v>
      </c>
      <c r="R305" s="46" t="n">
        <v>30</v>
      </c>
      <c r="S305" s="46" t="n">
        <v>70</v>
      </c>
      <c r="T305" s="46" t="n">
        <v>70</v>
      </c>
      <c r="U305" s="46" t="n">
        <v>70</v>
      </c>
      <c r="V305" s="46" t="n">
        <v>70</v>
      </c>
      <c r="W305" s="46" t="n"/>
      <c r="X305" s="46" t="n"/>
      <c r="Y305" s="46" t="n"/>
      <c r="Z305" s="46" t="n"/>
      <c r="AA305" s="48" t="n"/>
      <c r="AB305" s="179" t="n"/>
      <c r="AC305" s="180" t="n"/>
      <c r="AD305" s="189">
        <f>SUM(AB305:AC305)</f>
        <v/>
      </c>
      <c r="AE305" s="189">
        <f>AB305*$O305</f>
        <v/>
      </c>
      <c r="AF305" s="189">
        <f>AC305*$O305</f>
        <v/>
      </c>
      <c r="AG305" s="189">
        <f>SUM(AE305:AF305)</f>
        <v/>
      </c>
      <c r="AH305" s="182" t="n"/>
    </row>
    <row r="306" outlineLevel="1">
      <c r="A306" s="18" t="n"/>
      <c r="B306" s="11">
        <f>IF($K306=B$8,1+IF(OFFSET(B306,-1,0)="",0,OFFSET(B306,-1,0)),IF(B$8&lt;$K306,IF(OFFSET(B306,-1,0)="","ERR",OFFSET(B306,-1,0)),""))</f>
        <v/>
      </c>
      <c r="C306" s="11">
        <f>IF($K306=C$8,1+IF(OFFSET(C306,-1,0)="",0,OFFSET(C306,-1,0)),IF(C$8&lt;$K306,IF(OFFSET(C306,-1,0)="","ERR",OFFSET(C306,-1,0)),""))</f>
        <v/>
      </c>
      <c r="D306" s="11">
        <f>IF($K306=D$8,1+IF(OFFSET(D306,-1,0)="",0,OFFSET(D306,-1,0)),IF(D$8&lt;$K306,IF(OFFSET(D306,-1,0)="","ERR",OFFSET(D306,-1,0)),""))</f>
        <v/>
      </c>
      <c r="E306" s="11">
        <f>IF($K306=E$8,1+IF(OFFSET(E306,-1,0)="",0,OFFSET(E306,-1,0)),IF(E$8&lt;$K306,IF(OFFSET(E306,-1,0)="","ERR",OFFSET(E306,-1,0)),""))</f>
        <v/>
      </c>
      <c r="F306" s="11">
        <f>IF($K306=F$8,1+IF(OFFSET(F306,-1,0)="",0,OFFSET(F306,-1,0)),IF(F$8&lt;$K306,IF(OFFSET(F306,-1,0)="","ERR",OFFSET(F306,-1,0)),""))</f>
        <v/>
      </c>
      <c r="G306" s="11">
        <f>IF($K306=G$8,1+IF(OFFSET(G306,-1,0)="",0,OFFSET(G306,-1,0)),IF(G$8&lt;$K306,IF(OFFSET(G306,-1,0)="","ERR",OFFSET(G306,-1,0)),""))</f>
        <v/>
      </c>
      <c r="H306" s="11">
        <f>IF($K306=H$8,1+IF(OFFSET(H306,-1,0)="",0,OFFSET(H306,-1,0)),IF(H$8&lt;$K306,IF(OFFSET(H306,-1,0)="","ERR",OFFSET(H306,-1,0)),""))</f>
        <v/>
      </c>
      <c r="I306" s="11">
        <f>IF($K306=I$8,1+IF(OFFSET(I306,-1,0)="",0,OFFSET(I306,-1,0)),IF(I$8&lt;$K306,IF(OFFSET(I306,-1,0)="","ERR",OFFSET(I306,-1,0)),""))</f>
        <v/>
      </c>
      <c r="J306" s="43">
        <f>_xlfn.TEXTJOIN(".",1,B306:I306)</f>
        <v/>
      </c>
      <c r="K306" s="43" t="inlineStr">
        <is>
          <t>Л5</t>
        </is>
      </c>
      <c r="L306" s="43" t="inlineStr">
        <is>
          <t>3.3.3.12.4</t>
        </is>
      </c>
      <c r="M306" s="44" t="inlineStr">
        <is>
          <t>Трубы, гофра, кабеленесущие конструкции</t>
        </is>
      </c>
      <c r="N306" s="43" t="n"/>
      <c r="O306" s="9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5" t="n"/>
      <c r="AB306" s="185" t="n"/>
      <c r="AC306" s="186" t="n"/>
      <c r="AD306" s="186" t="n"/>
      <c r="AE306" s="186" t="n"/>
      <c r="AF306" s="186" t="n"/>
      <c r="AG306" s="186" t="n"/>
      <c r="AH306" s="178" t="n"/>
    </row>
    <row r="307" outlineLevel="1" ht="25.5" customHeight="1">
      <c r="A307" s="18" t="inlineStr">
        <is>
          <t>О</t>
        </is>
      </c>
      <c r="B307" s="11">
        <f>IF($K307=B$8,1+IF(OFFSET(B307,-1,0)="",0,OFFSET(B307,-1,0)),IF(B$8&lt;$K307,IF(OFFSET(B307,-1,0)="","ERR",OFFSET(B307,-1,0)),""))</f>
        <v/>
      </c>
      <c r="C307" s="11">
        <f>IF($K307=C$8,1+IF(OFFSET(C307,-1,0)="",0,OFFSET(C307,-1,0)),IF(C$8&lt;$K307,IF(OFFSET(C307,-1,0)="","ERR",OFFSET(C307,-1,0)),""))</f>
        <v/>
      </c>
      <c r="D307" s="11">
        <f>IF($K307=D$8,1+IF(OFFSET(D307,-1,0)="",0,OFFSET(D307,-1,0)),IF(D$8&lt;$K307,IF(OFFSET(D307,-1,0)="","ERR",OFFSET(D307,-1,0)),""))</f>
        <v/>
      </c>
      <c r="E307" s="11">
        <f>IF($K307=E$8,1+IF(OFFSET(E307,-1,0)="",0,OFFSET(E307,-1,0)),IF(E$8&lt;$K307,IF(OFFSET(E307,-1,0)="","ERR",OFFSET(E307,-1,0)),""))</f>
        <v/>
      </c>
      <c r="F307" s="11">
        <f>IF($K307=F$8,1+IF(OFFSET(F307,-1,0)="",0,OFFSET(F307,-1,0)),IF(F$8&lt;$K307,IF(OFFSET(F307,-1,0)="","ERR",OFFSET(F307,-1,0)),""))</f>
        <v/>
      </c>
      <c r="G307" s="11">
        <f>IF($K307=G$8,1+IF(OFFSET(G307,-1,0)="",0,OFFSET(G307,-1,0)),IF(G$8&lt;$K307,IF(OFFSET(G307,-1,0)="","ERR",OFFSET(G307,-1,0)),""))</f>
        <v/>
      </c>
      <c r="H307" s="11">
        <f>IF($K307=H$8,1+IF(OFFSET(H307,-1,0)="",0,OFFSET(H307,-1,0)),IF(H$8&lt;$K307,IF(OFFSET(H307,-1,0)="","ERR",OFFSET(H307,-1,0)),""))</f>
        <v/>
      </c>
      <c r="I307" s="11">
        <f>IF($K307=I$8,1+IF(OFFSET(I307,-1,0)="",0,OFFSET(I307,-1,0)),IF(I$8&lt;$K307,IF(OFFSET(I307,-1,0)="","ERR",OFFSET(I307,-1,0)),""))</f>
        <v/>
      </c>
      <c r="J307" s="46">
        <f>_xlfn.TEXTJOIN(".",1,B307:I307)</f>
        <v/>
      </c>
      <c r="K307" s="46" t="inlineStr">
        <is>
          <t>Л6</t>
        </is>
      </c>
      <c r="L307" s="46" t="inlineStr">
        <is>
          <t>3.3.3.12.4.1</t>
        </is>
      </c>
      <c r="M307" s="47" t="inlineStr">
        <is>
          <t>Прокладка трубы гофрированной диаметром до 32 мм с учетом крепежей и соединительных элементов: Труба гофр. ПВХ с протяжкой d16 мм (100 м) серая, tg-z-16, EKF</t>
        </is>
      </c>
      <c r="N307" s="46" t="inlineStr">
        <is>
          <t>пог. м</t>
        </is>
      </c>
      <c r="O307" s="94">
        <f>P307+Q307+S307+V307</f>
        <v/>
      </c>
      <c r="P307" s="46" t="n"/>
      <c r="Q307" s="46" t="n">
        <v>2902</v>
      </c>
      <c r="R307" s="46" t="n">
        <v>2902</v>
      </c>
      <c r="S307" s="46" t="n">
        <v>3845</v>
      </c>
      <c r="T307" s="46" t="n">
        <v>3845</v>
      </c>
      <c r="U307" s="46" t="n">
        <v>3410</v>
      </c>
      <c r="V307" s="46" t="n">
        <v>3410</v>
      </c>
      <c r="W307" s="46" t="n"/>
      <c r="X307" s="46" t="n"/>
      <c r="Y307" s="46" t="n"/>
      <c r="Z307" s="46" t="n"/>
      <c r="AA307" s="48" t="n"/>
      <c r="AB307" s="179" t="n"/>
      <c r="AC307" s="180" t="n"/>
      <c r="AD307" s="189">
        <f>SUM(AB307:AC307)</f>
        <v/>
      </c>
      <c r="AE307" s="189">
        <f>AB307*$O307</f>
        <v/>
      </c>
      <c r="AF307" s="189">
        <f>AC307*$O307</f>
        <v/>
      </c>
      <c r="AG307" s="189">
        <f>SUM(AE307:AF307)</f>
        <v/>
      </c>
      <c r="AH307" s="182" t="n"/>
    </row>
    <row r="308" outlineLevel="1" ht="25.5" customHeight="1">
      <c r="A308" s="18" t="inlineStr">
        <is>
          <t>О</t>
        </is>
      </c>
      <c r="B308" s="11">
        <f>IF($K308=B$8,1+IF(OFFSET(B308,-1,0)="",0,OFFSET(B308,-1,0)),IF(B$8&lt;$K308,IF(OFFSET(B308,-1,0)="","ERR",OFFSET(B308,-1,0)),""))</f>
        <v/>
      </c>
      <c r="C308" s="11">
        <f>IF($K308=C$8,1+IF(OFFSET(C308,-1,0)="",0,OFFSET(C308,-1,0)),IF(C$8&lt;$K308,IF(OFFSET(C308,-1,0)="","ERR",OFFSET(C308,-1,0)),""))</f>
        <v/>
      </c>
      <c r="D308" s="11">
        <f>IF($K308=D$8,1+IF(OFFSET(D308,-1,0)="",0,OFFSET(D308,-1,0)),IF(D$8&lt;$K308,IF(OFFSET(D308,-1,0)="","ERR",OFFSET(D308,-1,0)),""))</f>
        <v/>
      </c>
      <c r="E308" s="11">
        <f>IF($K308=E$8,1+IF(OFFSET(E308,-1,0)="",0,OFFSET(E308,-1,0)),IF(E$8&lt;$K308,IF(OFFSET(E308,-1,0)="","ERR",OFFSET(E308,-1,0)),""))</f>
        <v/>
      </c>
      <c r="F308" s="11">
        <f>IF($K308=F$8,1+IF(OFFSET(F308,-1,0)="",0,OFFSET(F308,-1,0)),IF(F$8&lt;$K308,IF(OFFSET(F308,-1,0)="","ERR",OFFSET(F308,-1,0)),""))</f>
        <v/>
      </c>
      <c r="G308" s="11">
        <f>IF($K308=G$8,1+IF(OFFSET(G308,-1,0)="",0,OFFSET(G308,-1,0)),IF(G$8&lt;$K308,IF(OFFSET(G308,-1,0)="","ERR",OFFSET(G308,-1,0)),""))</f>
        <v/>
      </c>
      <c r="H308" s="11">
        <f>IF($K308=H$8,1+IF(OFFSET(H308,-1,0)="",0,OFFSET(H308,-1,0)),IF(H$8&lt;$K308,IF(OFFSET(H308,-1,0)="","ERR",OFFSET(H308,-1,0)),""))</f>
        <v/>
      </c>
      <c r="I308" s="11">
        <f>IF($K308=I$8,1+IF(OFFSET(I308,-1,0)="",0,OFFSET(I308,-1,0)),IF(I$8&lt;$K308,IF(OFFSET(I308,-1,0)="","ERR",OFFSET(I308,-1,0)),""))</f>
        <v/>
      </c>
      <c r="J308" s="46">
        <f>_xlfn.TEXTJOIN(".",1,B308:I308)</f>
        <v/>
      </c>
      <c r="K308" s="46" t="inlineStr">
        <is>
          <t>Л6</t>
        </is>
      </c>
      <c r="L308" s="46" t="inlineStr">
        <is>
          <t>3.3.3.12.4.1</t>
        </is>
      </c>
      <c r="M308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100м, цвет серый,919120, ДКС</t>
        </is>
      </c>
      <c r="N308" s="46" t="inlineStr">
        <is>
          <t>пог. м</t>
        </is>
      </c>
      <c r="O308" s="94">
        <f>P308+Q308+S308+V308</f>
        <v/>
      </c>
      <c r="P308" s="46" t="n"/>
      <c r="Q308" s="46" t="n">
        <v>300</v>
      </c>
      <c r="R308" s="46" t="n">
        <v>300</v>
      </c>
      <c r="S308" s="46" t="n">
        <v>300</v>
      </c>
      <c r="T308" s="46" t="n">
        <v>300</v>
      </c>
      <c r="U308" s="46" t="n">
        <v>200</v>
      </c>
      <c r="V308" s="46" t="n">
        <v>200</v>
      </c>
      <c r="W308" s="46" t="n"/>
      <c r="X308" s="46" t="n"/>
      <c r="Y308" s="46" t="n"/>
      <c r="Z308" s="46" t="n"/>
      <c r="AA308" s="48" t="n"/>
      <c r="AB308" s="179" t="n"/>
      <c r="AC308" s="180" t="n"/>
      <c r="AD308" s="189">
        <f>SUM(AB308:AC308)</f>
        <v/>
      </c>
      <c r="AE308" s="189">
        <f>AB308*$O308</f>
        <v/>
      </c>
      <c r="AF308" s="189">
        <f>AC308*$O308</f>
        <v/>
      </c>
      <c r="AG308" s="189">
        <f>SUM(AE308:AF308)</f>
        <v/>
      </c>
      <c r="AH308" s="182" t="n"/>
    </row>
    <row r="309" outlineLevel="1" ht="25.5" customHeight="1">
      <c r="A309" s="18" t="inlineStr">
        <is>
          <t>О</t>
        </is>
      </c>
      <c r="B309" s="11">
        <f>IF($K309=B$8,1+IF(OFFSET(B309,-1,0)="",0,OFFSET(B309,-1,0)),IF(B$8&lt;$K309,IF(OFFSET(B309,-1,0)="","ERR",OFFSET(B309,-1,0)),""))</f>
        <v/>
      </c>
      <c r="C309" s="11">
        <f>IF($K309=C$8,1+IF(OFFSET(C309,-1,0)="",0,OFFSET(C309,-1,0)),IF(C$8&lt;$K309,IF(OFFSET(C309,-1,0)="","ERR",OFFSET(C309,-1,0)),""))</f>
        <v/>
      </c>
      <c r="D309" s="11">
        <f>IF($K309=D$8,1+IF(OFFSET(D309,-1,0)="",0,OFFSET(D309,-1,0)),IF(D$8&lt;$K309,IF(OFFSET(D309,-1,0)="","ERR",OFFSET(D309,-1,0)),""))</f>
        <v/>
      </c>
      <c r="E309" s="11">
        <f>IF($K309=E$8,1+IF(OFFSET(E309,-1,0)="",0,OFFSET(E309,-1,0)),IF(E$8&lt;$K309,IF(OFFSET(E309,-1,0)="","ERR",OFFSET(E309,-1,0)),""))</f>
        <v/>
      </c>
      <c r="F309" s="11">
        <f>IF($K309=F$8,1+IF(OFFSET(F309,-1,0)="",0,OFFSET(F309,-1,0)),IF(F$8&lt;$K309,IF(OFFSET(F309,-1,0)="","ERR",OFFSET(F309,-1,0)),""))</f>
        <v/>
      </c>
      <c r="G309" s="11">
        <f>IF($K309=G$8,1+IF(OFFSET(G309,-1,0)="",0,OFFSET(G309,-1,0)),IF(G$8&lt;$K309,IF(OFFSET(G309,-1,0)="","ERR",OFFSET(G309,-1,0)),""))</f>
        <v/>
      </c>
      <c r="H309" s="11">
        <f>IF($K309=H$8,1+IF(OFFSET(H309,-1,0)="",0,OFFSET(H309,-1,0)),IF(H$8&lt;$K309,IF(OFFSET(H309,-1,0)="","ERR",OFFSET(H309,-1,0)),""))</f>
        <v/>
      </c>
      <c r="I309" s="11">
        <f>IF($K309=I$8,1+IF(OFFSET(I309,-1,0)="",0,OFFSET(I309,-1,0)),IF(I$8&lt;$K309,IF(OFFSET(I309,-1,0)="","ERR",OFFSET(I309,-1,0)),""))</f>
        <v/>
      </c>
      <c r="J309" s="46">
        <f>_xlfn.TEXTJOIN(".",1,B309:I309)</f>
        <v/>
      </c>
      <c r="K309" s="46" t="inlineStr">
        <is>
          <t>Л6</t>
        </is>
      </c>
      <c r="L309" s="46" t="inlineStr">
        <is>
          <t>3.3.3.12.4.7</t>
        </is>
      </c>
      <c r="M309" s="47" t="inlineStr">
        <is>
          <t>Монтаж гильз из трубы стальной диаметром до 50 мм с последующей противопожарной заделкой: Труба ВГП бесшовная D=25х1 мм, ГОСТ 3262-75</t>
        </is>
      </c>
      <c r="N309" s="46" t="inlineStr">
        <is>
          <t>пог. м</t>
        </is>
      </c>
      <c r="O309" s="94">
        <f>P309+Q309+S309+V309</f>
        <v/>
      </c>
      <c r="P309" s="46" t="n"/>
      <c r="Q309" s="46" t="n">
        <v>6</v>
      </c>
      <c r="R309" s="46" t="n">
        <v>6</v>
      </c>
      <c r="S309" s="46" t="n">
        <v>5</v>
      </c>
      <c r="T309" s="46" t="n">
        <v>5</v>
      </c>
      <c r="U309" s="46" t="n">
        <v>5</v>
      </c>
      <c r="V309" s="46" t="n">
        <v>5</v>
      </c>
      <c r="W309" s="46" t="n"/>
      <c r="X309" s="46" t="n"/>
      <c r="Y309" s="46" t="n"/>
      <c r="Z309" s="46" t="n"/>
      <c r="AA309" s="48" t="n"/>
      <c r="AB309" s="179" t="n"/>
      <c r="AC309" s="180" t="n"/>
      <c r="AD309" s="189">
        <f>SUM(AB309:AC309)</f>
        <v/>
      </c>
      <c r="AE309" s="189">
        <f>AB309*$O309</f>
        <v/>
      </c>
      <c r="AF309" s="189">
        <f>AC309*$O309</f>
        <v/>
      </c>
      <c r="AG309" s="189">
        <f>SUM(AE309:AF309)</f>
        <v/>
      </c>
      <c r="AH309" s="182" t="n"/>
    </row>
    <row r="310" outlineLevel="1" ht="25.5" customHeight="1">
      <c r="A310" s="18" t="inlineStr">
        <is>
          <t>О</t>
        </is>
      </c>
      <c r="B310" s="11">
        <f>IF($K310=B$8,1+IF(OFFSET(B310,-1,0)="",0,OFFSET(B310,-1,0)),IF(B$8&lt;$K310,IF(OFFSET(B310,-1,0)="","ERR",OFFSET(B310,-1,0)),""))</f>
        <v/>
      </c>
      <c r="C310" s="11">
        <f>IF($K310=C$8,1+IF(OFFSET(C310,-1,0)="",0,OFFSET(C310,-1,0)),IF(C$8&lt;$K310,IF(OFFSET(C310,-1,0)="","ERR",OFFSET(C310,-1,0)),""))</f>
        <v/>
      </c>
      <c r="D310" s="11">
        <f>IF($K310=D$8,1+IF(OFFSET(D310,-1,0)="",0,OFFSET(D310,-1,0)),IF(D$8&lt;$K310,IF(OFFSET(D310,-1,0)="","ERR",OFFSET(D310,-1,0)),""))</f>
        <v/>
      </c>
      <c r="E310" s="11">
        <f>IF($K310=E$8,1+IF(OFFSET(E310,-1,0)="",0,OFFSET(E310,-1,0)),IF(E$8&lt;$K310,IF(OFFSET(E310,-1,0)="","ERR",OFFSET(E310,-1,0)),""))</f>
        <v/>
      </c>
      <c r="F310" s="11">
        <f>IF($K310=F$8,1+IF(OFFSET(F310,-1,0)="",0,OFFSET(F310,-1,0)),IF(F$8&lt;$K310,IF(OFFSET(F310,-1,0)="","ERR",OFFSET(F310,-1,0)),""))</f>
        <v/>
      </c>
      <c r="G310" s="11">
        <f>IF($K310=G$8,1+IF(OFFSET(G310,-1,0)="",0,OFFSET(G310,-1,0)),IF(G$8&lt;$K310,IF(OFFSET(G310,-1,0)="","ERR",OFFSET(G310,-1,0)),""))</f>
        <v/>
      </c>
      <c r="H310" s="11">
        <f>IF($K310=H$8,1+IF(OFFSET(H310,-1,0)="",0,OFFSET(H310,-1,0)),IF(H$8&lt;$K310,IF(OFFSET(H310,-1,0)="","ERR",OFFSET(H310,-1,0)),""))</f>
        <v/>
      </c>
      <c r="I310" s="11">
        <f>IF($K310=I$8,1+IF(OFFSET(I310,-1,0)="",0,OFFSET(I310,-1,0)),IF(I$8&lt;$K310,IF(OFFSET(I310,-1,0)="","ERR",OFFSET(I310,-1,0)),""))</f>
        <v/>
      </c>
      <c r="J310" s="46">
        <f>_xlfn.TEXTJOIN(".",1,B310:I310)</f>
        <v/>
      </c>
      <c r="K310" s="46" t="inlineStr">
        <is>
          <t>Л6</t>
        </is>
      </c>
      <c r="L310" s="46" t="inlineStr">
        <is>
          <t>3.3.3.12.4.7</t>
        </is>
      </c>
      <c r="M310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мм, ГОСТ 10704-91</t>
        </is>
      </c>
      <c r="N310" s="46" t="inlineStr">
        <is>
          <t>пог. м</t>
        </is>
      </c>
      <c r="O310" s="94">
        <f>P310+Q310+S310+V310</f>
        <v/>
      </c>
      <c r="P310" s="46" t="n"/>
      <c r="Q310" s="46" t="n">
        <v>8</v>
      </c>
      <c r="R310" s="46" t="n">
        <v>8</v>
      </c>
      <c r="S310" s="46" t="n">
        <v>14</v>
      </c>
      <c r="T310" s="46" t="n">
        <v>14</v>
      </c>
      <c r="U310" s="46" t="n">
        <v>13</v>
      </c>
      <c r="V310" s="46" t="n">
        <v>13</v>
      </c>
      <c r="W310" s="46" t="n"/>
      <c r="X310" s="46" t="n"/>
      <c r="Y310" s="46" t="n"/>
      <c r="Z310" s="46" t="n"/>
      <c r="AA310" s="48" t="n"/>
      <c r="AB310" s="179" t="n"/>
      <c r="AC310" s="180" t="n"/>
      <c r="AD310" s="189">
        <f>SUM(AB310:AC310)</f>
        <v/>
      </c>
      <c r="AE310" s="189">
        <f>AB310*$O310</f>
        <v/>
      </c>
      <c r="AF310" s="189">
        <f>AC310*$O310</f>
        <v/>
      </c>
      <c r="AG310" s="189">
        <f>SUM(AE310:AF310)</f>
        <v/>
      </c>
      <c r="AH310" s="182" t="n"/>
    </row>
    <row r="311" outlineLevel="1">
      <c r="A311" s="18" t="n"/>
      <c r="B311" s="11">
        <f>IF($K311=B$8,1+IF(OFFSET(B311,-1,0)="",0,OFFSET(B311,-1,0)),IF(B$8&lt;$K311,IF(OFFSET(B311,-1,0)="","ERR",OFFSET(B311,-1,0)),""))</f>
        <v/>
      </c>
      <c r="C311" s="11">
        <f>IF($K311=C$8,1+IF(OFFSET(C311,-1,0)="",0,OFFSET(C311,-1,0)),IF(C$8&lt;$K311,IF(OFFSET(C311,-1,0)="","ERR",OFFSET(C311,-1,0)),""))</f>
        <v/>
      </c>
      <c r="D311" s="11">
        <f>IF($K311=D$8,1+IF(OFFSET(D311,-1,0)="",0,OFFSET(D311,-1,0)),IF(D$8&lt;$K311,IF(OFFSET(D311,-1,0)="","ERR",OFFSET(D311,-1,0)),""))</f>
        <v/>
      </c>
      <c r="E311" s="11">
        <f>IF($K311=E$8,1+IF(OFFSET(E311,-1,0)="",0,OFFSET(E311,-1,0)),IF(E$8&lt;$K311,IF(OFFSET(E311,-1,0)="","ERR",OFFSET(E311,-1,0)),""))</f>
        <v/>
      </c>
      <c r="F311" s="11">
        <f>IF($K311=F$8,1+IF(OFFSET(F311,-1,0)="",0,OFFSET(F311,-1,0)),IF(F$8&lt;$K311,IF(OFFSET(F311,-1,0)="","ERR",OFFSET(F311,-1,0)),""))</f>
        <v/>
      </c>
      <c r="G311" s="11">
        <f>IF($K311=G$8,1+IF(OFFSET(G311,-1,0)="",0,OFFSET(G311,-1,0)),IF(G$8&lt;$K311,IF(OFFSET(G311,-1,0)="","ERR",OFFSET(G311,-1,0)),""))</f>
        <v/>
      </c>
      <c r="H311" s="11">
        <f>IF($K311=H$8,1+IF(OFFSET(H311,-1,0)="",0,OFFSET(H311,-1,0)),IF(H$8&lt;$K311,IF(OFFSET(H311,-1,0)="","ERR",OFFSET(H311,-1,0)),""))</f>
        <v/>
      </c>
      <c r="I311" s="11">
        <f>IF($K311=I$8,1+IF(OFFSET(I311,-1,0)="",0,OFFSET(I311,-1,0)),IF(I$8&lt;$K311,IF(OFFSET(I311,-1,0)="","ERR",OFFSET(I311,-1,0)),""))</f>
        <v/>
      </c>
      <c r="J311" s="43">
        <f>_xlfn.TEXTJOIN(".",1,B311:I311)</f>
        <v/>
      </c>
      <c r="K311" s="43" t="inlineStr">
        <is>
          <t>Л5</t>
        </is>
      </c>
      <c r="L311" s="43" t="inlineStr">
        <is>
          <t>3.3.3.12.7</t>
        </is>
      </c>
      <c r="M311" s="44" t="inlineStr">
        <is>
          <t>Оборудование и приборы ворот</t>
        </is>
      </c>
      <c r="N311" s="43" t="n"/>
      <c r="O311" s="9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5" t="n"/>
      <c r="AB311" s="185" t="n"/>
      <c r="AC311" s="186" t="n"/>
      <c r="AD311" s="186" t="n"/>
      <c r="AE311" s="186" t="n"/>
      <c r="AF311" s="186" t="n"/>
      <c r="AG311" s="186" t="n"/>
      <c r="AH311" s="178" t="n"/>
    </row>
    <row r="312" outlineLevel="1">
      <c r="A312" s="18" t="inlineStr">
        <is>
          <t>О</t>
        </is>
      </c>
      <c r="B312" s="11">
        <f>IF($K312=B$8,1+IF(OFFSET(B312,-1,0)="",0,OFFSET(B312,-1,0)),IF(B$8&lt;$K312,IF(OFFSET(B312,-1,0)="","ERR",OFFSET(B312,-1,0)),""))</f>
        <v/>
      </c>
      <c r="C312" s="11">
        <f>IF($K312=C$8,1+IF(OFFSET(C312,-1,0)="",0,OFFSET(C312,-1,0)),IF(C$8&lt;$K312,IF(OFFSET(C312,-1,0)="","ERR",OFFSET(C312,-1,0)),""))</f>
        <v/>
      </c>
      <c r="D312" s="11">
        <f>IF($K312=D$8,1+IF(OFFSET(D312,-1,0)="",0,OFFSET(D312,-1,0)),IF(D$8&lt;$K312,IF(OFFSET(D312,-1,0)="","ERR",OFFSET(D312,-1,0)),""))</f>
        <v/>
      </c>
      <c r="E312" s="11">
        <f>IF($K312=E$8,1+IF(OFFSET(E312,-1,0)="",0,OFFSET(E312,-1,0)),IF(E$8&lt;$K312,IF(OFFSET(E312,-1,0)="","ERR",OFFSET(E312,-1,0)),""))</f>
        <v/>
      </c>
      <c r="F312" s="11">
        <f>IF($K312=F$8,1+IF(OFFSET(F312,-1,0)="",0,OFFSET(F312,-1,0)),IF(F$8&lt;$K312,IF(OFFSET(F312,-1,0)="","ERR",OFFSET(F312,-1,0)),""))</f>
        <v/>
      </c>
      <c r="G312" s="11">
        <f>IF($K312=G$8,1+IF(OFFSET(G312,-1,0)="",0,OFFSET(G312,-1,0)),IF(G$8&lt;$K312,IF(OFFSET(G312,-1,0)="","ERR",OFFSET(G312,-1,0)),""))</f>
        <v/>
      </c>
      <c r="H312" s="11">
        <f>IF($K312=H$8,1+IF(OFFSET(H312,-1,0)="",0,OFFSET(H312,-1,0)),IF(H$8&lt;$K312,IF(OFFSET(H312,-1,0)="","ERR",OFFSET(H312,-1,0)),""))</f>
        <v/>
      </c>
      <c r="I312" s="11">
        <f>IF($K312=I$8,1+IF(OFFSET(I312,-1,0)="",0,OFFSET(I312,-1,0)),IF(I$8&lt;$K312,IF(OFFSET(I312,-1,0)="","ERR",OFFSET(I312,-1,0)),""))</f>
        <v/>
      </c>
      <c r="J312" s="46">
        <f>_xlfn.TEXTJOIN(".",1,B312:I312)</f>
        <v/>
      </c>
      <c r="K312" s="46" t="inlineStr">
        <is>
          <t>Л6</t>
        </is>
      </c>
      <c r="L312" s="46" t="inlineStr">
        <is>
          <t>3.3.3.12.7.6</t>
        </is>
      </c>
      <c r="M312" s="47" t="inlineStr">
        <is>
          <t>Монтаж фотоэлемента: Комплект фотоэлементов DIR10, DIR10, CAME</t>
        </is>
      </c>
      <c r="N312" s="46" t="inlineStr">
        <is>
          <t>шт</t>
        </is>
      </c>
      <c r="O312" s="94">
        <f>P312+Q312+S312+V312</f>
        <v/>
      </c>
      <c r="P312" s="46" t="n"/>
      <c r="Q312" s="46" t="n">
        <v>2</v>
      </c>
      <c r="R312" s="46" t="n">
        <v>2</v>
      </c>
      <c r="S312" s="46" t="n">
        <v>2</v>
      </c>
      <c r="T312" s="46" t="n">
        <v>2</v>
      </c>
      <c r="U312" s="46" t="n"/>
      <c r="V312" s="46" t="n"/>
      <c r="W312" s="46" t="n"/>
      <c r="X312" s="46" t="n"/>
      <c r="Y312" s="46" t="n"/>
      <c r="Z312" s="46" t="n"/>
      <c r="AA312" s="48" t="n"/>
      <c r="AB312" s="179" t="n"/>
      <c r="AC312" s="180" t="n"/>
      <c r="AD312" s="189">
        <f>SUM(AB312:AC312)</f>
        <v/>
      </c>
      <c r="AE312" s="189">
        <f>AB312*$O312</f>
        <v/>
      </c>
      <c r="AF312" s="189">
        <f>AC312*$O312</f>
        <v/>
      </c>
      <c r="AG312" s="189">
        <f>SUM(AE312:AF312)</f>
        <v/>
      </c>
      <c r="AH312" s="182" t="n"/>
    </row>
    <row r="313" outlineLevel="1">
      <c r="A313" s="18" t="inlineStr">
        <is>
          <t>О</t>
        </is>
      </c>
      <c r="B313" s="11">
        <f>IF($K313=B$8,1+IF(OFFSET(B313,-1,0)="",0,OFFSET(B313,-1,0)),IF(B$8&lt;$K313,IF(OFFSET(B313,-1,0)="","ERR",OFFSET(B313,-1,0)),""))</f>
        <v/>
      </c>
      <c r="C313" s="11">
        <f>IF($K313=C$8,1+IF(OFFSET(C313,-1,0)="",0,OFFSET(C313,-1,0)),IF(C$8&lt;$K313,IF(OFFSET(C313,-1,0)="","ERR",OFFSET(C313,-1,0)),""))</f>
        <v/>
      </c>
      <c r="D313" s="11">
        <f>IF($K313=D$8,1+IF(OFFSET(D313,-1,0)="",0,OFFSET(D313,-1,0)),IF(D$8&lt;$K313,IF(OFFSET(D313,-1,0)="","ERR",OFFSET(D313,-1,0)),""))</f>
        <v/>
      </c>
      <c r="E313" s="11">
        <f>IF($K313=E$8,1+IF(OFFSET(E313,-1,0)="",0,OFFSET(E313,-1,0)),IF(E$8&lt;$K313,IF(OFFSET(E313,-1,0)="","ERR",OFFSET(E313,-1,0)),""))</f>
        <v/>
      </c>
      <c r="F313" s="11">
        <f>IF($K313=F$8,1+IF(OFFSET(F313,-1,0)="",0,OFFSET(F313,-1,0)),IF(F$8&lt;$K313,IF(OFFSET(F313,-1,0)="","ERR",OFFSET(F313,-1,0)),""))</f>
        <v/>
      </c>
      <c r="G313" s="11">
        <f>IF($K313=G$8,1+IF(OFFSET(G313,-1,0)="",0,OFFSET(G313,-1,0)),IF(G$8&lt;$K313,IF(OFFSET(G313,-1,0)="","ERR",OFFSET(G313,-1,0)),""))</f>
        <v/>
      </c>
      <c r="H313" s="11">
        <f>IF($K313=H$8,1+IF(OFFSET(H313,-1,0)="",0,OFFSET(H313,-1,0)),IF(H$8&lt;$K313,IF(OFFSET(H313,-1,0)="","ERR",OFFSET(H313,-1,0)),""))</f>
        <v/>
      </c>
      <c r="I313" s="11">
        <f>IF($K313=I$8,1+IF(OFFSET(I313,-1,0)="",0,OFFSET(I313,-1,0)),IF(I$8&lt;$K313,IF(OFFSET(I313,-1,0)="","ERR",OFFSET(I313,-1,0)),""))</f>
        <v/>
      </c>
      <c r="J313" s="46">
        <f>_xlfn.TEXTJOIN(".",1,B313:I313)</f>
        <v/>
      </c>
      <c r="K313" s="46" t="inlineStr">
        <is>
          <t>Л6</t>
        </is>
      </c>
      <c r="L313" s="46" t="inlineStr">
        <is>
          <t>3.3.3.12.7.7</t>
        </is>
      </c>
      <c r="M313" s="47" t="inlineStr">
        <is>
          <t>Монтаж стойки для фотоэлемента, включая крепеж: Стойка для фотоэлементов, CAME DIR-LNR, CAME</t>
        </is>
      </c>
      <c r="N313" s="46" t="inlineStr">
        <is>
          <t>шт</t>
        </is>
      </c>
      <c r="O313" s="94">
        <f>P313+Q313+S313+V313</f>
        <v/>
      </c>
      <c r="P313" s="46" t="n"/>
      <c r="Q313" s="46" t="n">
        <v>3</v>
      </c>
      <c r="R313" s="46" t="n">
        <v>3</v>
      </c>
      <c r="S313" s="46" t="n">
        <v>3</v>
      </c>
      <c r="T313" s="46" t="n">
        <v>3</v>
      </c>
      <c r="U313" s="46" t="n"/>
      <c r="V313" s="46" t="n"/>
      <c r="W313" s="46" t="n"/>
      <c r="X313" s="46" t="n"/>
      <c r="Y313" s="46" t="n"/>
      <c r="Z313" s="46" t="n"/>
      <c r="AA313" s="48" t="n"/>
      <c r="AB313" s="179" t="n"/>
      <c r="AC313" s="180" t="n"/>
      <c r="AD313" s="189">
        <f>SUM(AB313:AC313)</f>
        <v/>
      </c>
      <c r="AE313" s="189">
        <f>AB313*$O313</f>
        <v/>
      </c>
      <c r="AF313" s="189">
        <f>AC313*$O313</f>
        <v/>
      </c>
      <c r="AG313" s="189">
        <f>SUM(AE313:AF313)</f>
        <v/>
      </c>
      <c r="AH313" s="182" t="n"/>
    </row>
    <row r="314" outlineLevel="1">
      <c r="A314" s="18" t="inlineStr">
        <is>
          <t>О</t>
        </is>
      </c>
      <c r="B314" s="11">
        <f>IF($K314=B$8,1+IF(OFFSET(B314,-1,0)="",0,OFFSET(B314,-1,0)),IF(B$8&lt;$K314,IF(OFFSET(B314,-1,0)="","ERR",OFFSET(B314,-1,0)),""))</f>
        <v/>
      </c>
      <c r="C314" s="11">
        <f>IF($K314=C$8,1+IF(OFFSET(C314,-1,0)="",0,OFFSET(C314,-1,0)),IF(C$8&lt;$K314,IF(OFFSET(C314,-1,0)="","ERR",OFFSET(C314,-1,0)),""))</f>
        <v/>
      </c>
      <c r="D314" s="11">
        <f>IF($K314=D$8,1+IF(OFFSET(D314,-1,0)="",0,OFFSET(D314,-1,0)),IF(D$8&lt;$K314,IF(OFFSET(D314,-1,0)="","ERR",OFFSET(D314,-1,0)),""))</f>
        <v/>
      </c>
      <c r="E314" s="11">
        <f>IF($K314=E$8,1+IF(OFFSET(E314,-1,0)="",0,OFFSET(E314,-1,0)),IF(E$8&lt;$K314,IF(OFFSET(E314,-1,0)="","ERR",OFFSET(E314,-1,0)),""))</f>
        <v/>
      </c>
      <c r="F314" s="11">
        <f>IF($K314=F$8,1+IF(OFFSET(F314,-1,0)="",0,OFFSET(F314,-1,0)),IF(F$8&lt;$K314,IF(OFFSET(F314,-1,0)="","ERR",OFFSET(F314,-1,0)),""))</f>
        <v/>
      </c>
      <c r="G314" s="11">
        <f>IF($K314=G$8,1+IF(OFFSET(G314,-1,0)="",0,OFFSET(G314,-1,0)),IF(G$8&lt;$K314,IF(OFFSET(G314,-1,0)="","ERR",OFFSET(G314,-1,0)),""))</f>
        <v/>
      </c>
      <c r="H314" s="11">
        <f>IF($K314=H$8,1+IF(OFFSET(H314,-1,0)="",0,OFFSET(H314,-1,0)),IF(H$8&lt;$K314,IF(OFFSET(H314,-1,0)="","ERR",OFFSET(H314,-1,0)),""))</f>
        <v/>
      </c>
      <c r="I314" s="11">
        <f>IF($K314=I$8,1+IF(OFFSET(I314,-1,0)="",0,OFFSET(I314,-1,0)),IF(I$8&lt;$K314,IF(OFFSET(I314,-1,0)="","ERR",OFFSET(I314,-1,0)),""))</f>
        <v/>
      </c>
      <c r="J314" s="46">
        <f>_xlfn.TEXTJOIN(".",1,B314:I314)</f>
        <v/>
      </c>
      <c r="K314" s="46" t="inlineStr">
        <is>
          <t>Л6</t>
        </is>
      </c>
      <c r="L314" s="46" t="inlineStr">
        <is>
          <t>3.3.3.12.7.14</t>
        </is>
      </c>
      <c r="M314" s="47" t="inlineStr">
        <is>
          <t>Монтаж Светофора: Светофор плоский двухсекционный Т.8.1 200мм, (12В) серый (арт.82), Т.8.1, МЕГАПРОМ</t>
        </is>
      </c>
      <c r="N314" s="46" t="inlineStr">
        <is>
          <t>шт</t>
        </is>
      </c>
      <c r="O314" s="94">
        <f>P314+Q314+S314+V314</f>
        <v/>
      </c>
      <c r="P314" s="46" t="n"/>
      <c r="Q314" s="46" t="n">
        <v>2</v>
      </c>
      <c r="R314" s="46" t="n">
        <v>2</v>
      </c>
      <c r="S314" s="46" t="n">
        <v>2</v>
      </c>
      <c r="T314" s="46" t="n">
        <v>2</v>
      </c>
      <c r="U314" s="46" t="n"/>
      <c r="V314" s="46" t="n"/>
      <c r="W314" s="46" t="n"/>
      <c r="X314" s="46" t="n"/>
      <c r="Y314" s="46" t="n"/>
      <c r="Z314" s="46" t="n"/>
      <c r="AA314" s="48" t="n"/>
      <c r="AB314" s="179" t="n"/>
      <c r="AC314" s="180" t="n"/>
      <c r="AD314" s="189">
        <f>SUM(AB314:AC314)</f>
        <v/>
      </c>
      <c r="AE314" s="189">
        <f>AB314*$O314</f>
        <v/>
      </c>
      <c r="AF314" s="189">
        <f>AC314*$O314</f>
        <v/>
      </c>
      <c r="AG314" s="189">
        <f>SUM(AE314:AF314)</f>
        <v/>
      </c>
      <c r="AH314" s="182" t="n"/>
    </row>
    <row r="315" outlineLevel="1" ht="25.5" customHeight="1">
      <c r="A315" s="18" t="inlineStr">
        <is>
          <t>О</t>
        </is>
      </c>
      <c r="B315" s="11">
        <f>IF($K315=B$8,1+IF(OFFSET(B315,-1,0)="",0,OFFSET(B315,-1,0)),IF(B$8&lt;$K315,IF(OFFSET(B315,-1,0)="","ERR",OFFSET(B315,-1,0)),""))</f>
        <v/>
      </c>
      <c r="C315" s="11">
        <f>IF($K315=C$8,1+IF(OFFSET(C315,-1,0)="",0,OFFSET(C315,-1,0)),IF(C$8&lt;$K315,IF(OFFSET(C315,-1,0)="","ERR",OFFSET(C315,-1,0)),""))</f>
        <v/>
      </c>
      <c r="D315" s="11">
        <f>IF($K315=D$8,1+IF(OFFSET(D315,-1,0)="",0,OFFSET(D315,-1,0)),IF(D$8&lt;$K315,IF(OFFSET(D315,-1,0)="","ERR",OFFSET(D315,-1,0)),""))</f>
        <v/>
      </c>
      <c r="E315" s="11">
        <f>IF($K315=E$8,1+IF(OFFSET(E315,-1,0)="",0,OFFSET(E315,-1,0)),IF(E$8&lt;$K315,IF(OFFSET(E315,-1,0)="","ERR",OFFSET(E315,-1,0)),""))</f>
        <v/>
      </c>
      <c r="F315" s="11">
        <f>IF($K315=F$8,1+IF(OFFSET(F315,-1,0)="",0,OFFSET(F315,-1,0)),IF(F$8&lt;$K315,IF(OFFSET(F315,-1,0)="","ERR",OFFSET(F315,-1,0)),""))</f>
        <v/>
      </c>
      <c r="G315" s="11">
        <f>IF($K315=G$8,1+IF(OFFSET(G315,-1,0)="",0,OFFSET(G315,-1,0)),IF(G$8&lt;$K315,IF(OFFSET(G315,-1,0)="","ERR",OFFSET(G315,-1,0)),""))</f>
        <v/>
      </c>
      <c r="H315" s="11">
        <f>IF($K315=H$8,1+IF(OFFSET(H315,-1,0)="",0,OFFSET(H315,-1,0)),IF(H$8&lt;$K315,IF(OFFSET(H315,-1,0)="","ERR",OFFSET(H315,-1,0)),""))</f>
        <v/>
      </c>
      <c r="I315" s="11">
        <f>IF($K315=I$8,1+IF(OFFSET(I315,-1,0)="",0,OFFSET(I315,-1,0)),IF(I$8&lt;$K315,IF(OFFSET(I315,-1,0)="","ERR",OFFSET(I315,-1,0)),""))</f>
        <v/>
      </c>
      <c r="J315" s="46">
        <f>_xlfn.TEXTJOIN(".",1,B315:I315)</f>
        <v/>
      </c>
      <c r="K315" s="46" t="inlineStr">
        <is>
          <t>Л6</t>
        </is>
      </c>
      <c r="L315" s="46" t="inlineStr">
        <is>
          <t>3.3.3.12.7.15</t>
        </is>
      </c>
      <c r="M315" s="47" t="inlineStr">
        <is>
          <t>Монтаж считывателя дальней идентификации: Считыватель дальней идентификации R40-UHF, R40-UHF, RUSGUARD</t>
        </is>
      </c>
      <c r="N315" s="46" t="inlineStr">
        <is>
          <t>шт</t>
        </is>
      </c>
      <c r="O315" s="94">
        <f>P315+Q315+S315+V315</f>
        <v/>
      </c>
      <c r="P315" s="46" t="n"/>
      <c r="Q315" s="46" t="n">
        <v>2</v>
      </c>
      <c r="R315" s="46" t="n">
        <v>2</v>
      </c>
      <c r="S315" s="46" t="n">
        <v>2</v>
      </c>
      <c r="T315" s="46" t="n">
        <v>2</v>
      </c>
      <c r="U315" s="46" t="n"/>
      <c r="V315" s="46" t="n"/>
      <c r="W315" s="46" t="n"/>
      <c r="X315" s="46" t="n"/>
      <c r="Y315" s="46" t="n"/>
      <c r="Z315" s="46" t="n"/>
      <c r="AA315" s="48" t="n"/>
      <c r="AB315" s="179" t="n"/>
      <c r="AC315" s="180" t="n"/>
      <c r="AD315" s="189">
        <f>SUM(AB315:AC315)</f>
        <v/>
      </c>
      <c r="AE315" s="189">
        <f>AB315*$O315</f>
        <v/>
      </c>
      <c r="AF315" s="189">
        <f>AC315*$O315</f>
        <v/>
      </c>
      <c r="AG315" s="189">
        <f>SUM(AE315:AF315)</f>
        <v/>
      </c>
      <c r="AH315" s="182" t="n"/>
    </row>
    <row r="316" outlineLevel="1">
      <c r="A316" s="18" t="n"/>
      <c r="B316" s="11">
        <f>IF($K316=B$8,1+IF(OFFSET(B316,-1,0)="",0,OFFSET(B316,-1,0)),IF(B$8&lt;$K316,IF(OFFSET(B316,-1,0)="","ERR",OFFSET(B316,-1,0)),""))</f>
        <v/>
      </c>
      <c r="C316" s="11">
        <f>IF($K316=C$8,1+IF(OFFSET(C316,-1,0)="",0,OFFSET(C316,-1,0)),IF(C$8&lt;$K316,IF(OFFSET(C316,-1,0)="","ERR",OFFSET(C316,-1,0)),""))</f>
        <v/>
      </c>
      <c r="D316" s="11">
        <f>IF($K316=D$8,1+IF(OFFSET(D316,-1,0)="",0,OFFSET(D316,-1,0)),IF(D$8&lt;$K316,IF(OFFSET(D316,-1,0)="","ERR",OFFSET(D316,-1,0)),""))</f>
        <v/>
      </c>
      <c r="E316" s="11">
        <f>IF($K316=E$8,1+IF(OFFSET(E316,-1,0)="",0,OFFSET(E316,-1,0)),IF(E$8&lt;$K316,IF(OFFSET(E316,-1,0)="","ERR",OFFSET(E316,-1,0)),""))</f>
        <v/>
      </c>
      <c r="F316" s="11">
        <f>IF($K316=F$8,1+IF(OFFSET(F316,-1,0)="",0,OFFSET(F316,-1,0)),IF(F$8&lt;$K316,IF(OFFSET(F316,-1,0)="","ERR",OFFSET(F316,-1,0)),""))</f>
        <v/>
      </c>
      <c r="G316" s="11">
        <f>IF($K316=G$8,1+IF(OFFSET(G316,-1,0)="",0,OFFSET(G316,-1,0)),IF(G$8&lt;$K316,IF(OFFSET(G316,-1,0)="","ERR",OFFSET(G316,-1,0)),""))</f>
        <v/>
      </c>
      <c r="H316" s="11">
        <f>IF($K316=H$8,1+IF(OFFSET(H316,-1,0)="",0,OFFSET(H316,-1,0)),IF(H$8&lt;$K316,IF(OFFSET(H316,-1,0)="","ERR",OFFSET(H316,-1,0)),""))</f>
        <v/>
      </c>
      <c r="I316" s="11">
        <f>IF($K316=I$8,1+IF(OFFSET(I316,-1,0)="",0,OFFSET(I316,-1,0)),IF(I$8&lt;$K316,IF(OFFSET(I316,-1,0)="","ERR",OFFSET(I316,-1,0)),""))</f>
        <v/>
      </c>
      <c r="J316" s="43">
        <f>_xlfn.TEXTJOIN(".",1,B316:I316)</f>
        <v/>
      </c>
      <c r="K316" s="43" t="inlineStr">
        <is>
          <t>Л5</t>
        </is>
      </c>
      <c r="L316" s="43" t="inlineStr">
        <is>
          <t>3.3.3.12.8</t>
        </is>
      </c>
      <c r="M316" s="44" t="inlineStr">
        <is>
          <t>Электромонтажные изделия и материалы</t>
        </is>
      </c>
      <c r="N316" s="43" t="n"/>
      <c r="O316" s="9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5" t="n"/>
      <c r="AB316" s="185" t="n"/>
      <c r="AC316" s="186" t="n"/>
      <c r="AD316" s="186" t="n"/>
      <c r="AE316" s="186" t="n"/>
      <c r="AF316" s="186" t="n"/>
      <c r="AG316" s="186" t="n"/>
      <c r="AH316" s="178" t="n"/>
    </row>
    <row r="317" outlineLevel="1" ht="25.5" customHeight="1">
      <c r="A317" s="18" t="inlineStr">
        <is>
          <t>О</t>
        </is>
      </c>
      <c r="B317" s="11">
        <f>IF($K317=B$8,1+IF(OFFSET(B317,-1,0)="",0,OFFSET(B317,-1,0)),IF(B$8&lt;$K317,IF(OFFSET(B317,-1,0)="","ERR",OFFSET(B317,-1,0)),""))</f>
        <v/>
      </c>
      <c r="C317" s="11">
        <f>IF($K317=C$8,1+IF(OFFSET(C317,-1,0)="",0,OFFSET(C317,-1,0)),IF(C$8&lt;$K317,IF(OFFSET(C317,-1,0)="","ERR",OFFSET(C317,-1,0)),""))</f>
        <v/>
      </c>
      <c r="D317" s="11">
        <f>IF($K317=D$8,1+IF(OFFSET(D317,-1,0)="",0,OFFSET(D317,-1,0)),IF(D$8&lt;$K317,IF(OFFSET(D317,-1,0)="","ERR",OFFSET(D317,-1,0)),""))</f>
        <v/>
      </c>
      <c r="E317" s="11">
        <f>IF($K317=E$8,1+IF(OFFSET(E317,-1,0)="",0,OFFSET(E317,-1,0)),IF(E$8&lt;$K317,IF(OFFSET(E317,-1,0)="","ERR",OFFSET(E317,-1,0)),""))</f>
        <v/>
      </c>
      <c r="F317" s="11">
        <f>IF($K317=F$8,1+IF(OFFSET(F317,-1,0)="",0,OFFSET(F317,-1,0)),IF(F$8&lt;$K317,IF(OFFSET(F317,-1,0)="","ERR",OFFSET(F317,-1,0)),""))</f>
        <v/>
      </c>
      <c r="G317" s="11">
        <f>IF($K317=G$8,1+IF(OFFSET(G317,-1,0)="",0,OFFSET(G317,-1,0)),IF(G$8&lt;$K317,IF(OFFSET(G317,-1,0)="","ERR",OFFSET(G317,-1,0)),""))</f>
        <v/>
      </c>
      <c r="H317" s="11">
        <f>IF($K317=H$8,1+IF(OFFSET(H317,-1,0)="",0,OFFSET(H317,-1,0)),IF(H$8&lt;$K317,IF(OFFSET(H317,-1,0)="","ERR",OFFSET(H317,-1,0)),""))</f>
        <v/>
      </c>
      <c r="I317" s="11">
        <f>IF($K317=I$8,1+IF(OFFSET(I317,-1,0)="",0,OFFSET(I317,-1,0)),IF(I$8&lt;$K317,IF(OFFSET(I317,-1,0)="","ERR",OFFSET(I317,-1,0)),""))</f>
        <v/>
      </c>
      <c r="J317" s="46">
        <f>_xlfn.TEXTJOIN(".",1,B317:I317)</f>
        <v/>
      </c>
      <c r="K317" s="46" t="inlineStr">
        <is>
          <t>Л6</t>
        </is>
      </c>
      <c r="L317" s="46" t="inlineStr">
        <is>
          <t>3.3.3.12.8.1</t>
        </is>
      </c>
      <c r="M317" s="47" t="inlineStr">
        <is>
          <t>Монтаж коробки распределительной, ответвительной, распаячной или протяжной: Клеммная коробка, DKC 53800, DKC</t>
        </is>
      </c>
      <c r="N317" s="46" t="inlineStr">
        <is>
          <t>шт</t>
        </is>
      </c>
      <c r="O317" s="94">
        <f>P317+Q317+S317+V317</f>
        <v/>
      </c>
      <c r="P317" s="46" t="n"/>
      <c r="Q317" s="46" t="n">
        <v>40</v>
      </c>
      <c r="R317" s="46" t="n">
        <v>40</v>
      </c>
      <c r="S317" s="46" t="n">
        <v>53</v>
      </c>
      <c r="T317" s="46" t="n">
        <v>53</v>
      </c>
      <c r="U317" s="46" t="n">
        <v>47</v>
      </c>
      <c r="V317" s="46" t="n">
        <v>47</v>
      </c>
      <c r="W317" s="46" t="n"/>
      <c r="X317" s="46" t="n"/>
      <c r="Y317" s="46" t="n"/>
      <c r="Z317" s="46" t="n"/>
      <c r="AA317" s="48" t="n"/>
      <c r="AB317" s="179" t="n"/>
      <c r="AC317" s="180" t="n"/>
      <c r="AD317" s="189">
        <f>SUM(AB317:AC317)</f>
        <v/>
      </c>
      <c r="AE317" s="189">
        <f>AB317*$O317</f>
        <v/>
      </c>
      <c r="AF317" s="189">
        <f>AC317*$O317</f>
        <v/>
      </c>
      <c r="AG317" s="189">
        <f>SUM(AE317:AF317)</f>
        <v/>
      </c>
      <c r="AH317" s="182" t="n"/>
    </row>
    <row r="318">
      <c r="A318" s="18" t="n"/>
      <c r="B318" s="11">
        <f>IF($K318=B$8,1+IF(OFFSET(B318,-1,0)="",0,OFFSET(B318,-1,0)),IF(B$8&lt;$K318,IF(OFFSET(B318,-1,0)="","ERR",OFFSET(B318,-1,0)),""))</f>
        <v/>
      </c>
      <c r="C318" s="11">
        <f>IF($K318=C$8,1+IF(OFFSET(C318,-1,0)="",0,OFFSET(C318,-1,0)),IF(C$8&lt;$K318,IF(OFFSET(C318,-1,0)="","ERR",OFFSET(C318,-1,0)),""))</f>
        <v/>
      </c>
      <c r="D318" s="11">
        <f>IF($K318=D$8,1+IF(OFFSET(D318,-1,0)="",0,OFFSET(D318,-1,0)),IF(D$8&lt;$K318,IF(OFFSET(D318,-1,0)="","ERR",OFFSET(D318,-1,0)),""))</f>
        <v/>
      </c>
      <c r="E318" s="11">
        <f>IF($K318=E$8,1+IF(OFFSET(E318,-1,0)="",0,OFFSET(E318,-1,0)),IF(E$8&lt;$K318,IF(OFFSET(E318,-1,0)="","ERR",OFFSET(E318,-1,0)),""))</f>
        <v/>
      </c>
      <c r="F318" s="11">
        <f>IF($K318=F$8,1+IF(OFFSET(F318,-1,0)="",0,OFFSET(F318,-1,0)),IF(F$8&lt;$K318,IF(OFFSET(F318,-1,0)="","ERR",OFFSET(F318,-1,0)),""))</f>
        <v/>
      </c>
      <c r="G318" s="11">
        <f>IF($K318=G$8,1+IF(OFFSET(G318,-1,0)="",0,OFFSET(G318,-1,0)),IF(G$8&lt;$K318,IF(OFFSET(G318,-1,0)="","ERR",OFFSET(G318,-1,0)),""))</f>
        <v/>
      </c>
      <c r="H318" s="11">
        <f>IF($K318=H$8,1+IF(OFFSET(H318,-1,0)="",0,OFFSET(H318,-1,0)),IF(H$8&lt;$K318,IF(OFFSET(H318,-1,0)="","ERR",OFFSET(H318,-1,0)),""))</f>
        <v/>
      </c>
      <c r="I318" s="11">
        <f>IF($K318=I$8,1+IF(OFFSET(I318,-1,0)="",0,OFFSET(I318,-1,0)),IF(I$8&lt;$K318,IF(OFFSET(I318,-1,0)="","ERR",OFFSET(I318,-1,0)),""))</f>
        <v/>
      </c>
      <c r="J318" s="40">
        <f>_xlfn.TEXTJOIN(".",1,B318:I318)</f>
        <v/>
      </c>
      <c r="K318" s="40" t="inlineStr">
        <is>
          <t>Л4</t>
        </is>
      </c>
      <c r="L318" s="40" t="inlineStr">
        <is>
          <t>3.3.3.13</t>
        </is>
      </c>
      <c r="M318" s="41" t="inlineStr">
        <is>
          <t>СОТС: Система охранно-тревожной сигнализации</t>
        </is>
      </c>
      <c r="N318" s="40" t="n"/>
      <c r="O318" s="92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2" t="inlineStr">
        <is>
          <t>ПТ-082022-23-Р-СТВС</t>
        </is>
      </c>
      <c r="AB318" s="183" t="n"/>
      <c r="AC318" s="184" t="n"/>
      <c r="AD318" s="184" t="n"/>
      <c r="AE318" s="184" t="n"/>
      <c r="AF318" s="184" t="n"/>
      <c r="AG318" s="184" t="n"/>
      <c r="AH318" s="175" t="n"/>
    </row>
    <row r="319" outlineLevel="1">
      <c r="A319" s="18" t="n"/>
      <c r="B319" s="11">
        <f>IF($K319=B$8,1+IF(OFFSET(B319,-1,0)="",0,OFFSET(B319,-1,0)),IF(B$8&lt;$K319,IF(OFFSET(B319,-1,0)="","ERR",OFFSET(B319,-1,0)),""))</f>
        <v/>
      </c>
      <c r="C319" s="11">
        <f>IF($K319=C$8,1+IF(OFFSET(C319,-1,0)="",0,OFFSET(C319,-1,0)),IF(C$8&lt;$K319,IF(OFFSET(C319,-1,0)="","ERR",OFFSET(C319,-1,0)),""))</f>
        <v/>
      </c>
      <c r="D319" s="11">
        <f>IF($K319=D$8,1+IF(OFFSET(D319,-1,0)="",0,OFFSET(D319,-1,0)),IF(D$8&lt;$K319,IF(OFFSET(D319,-1,0)="","ERR",OFFSET(D319,-1,0)),""))</f>
        <v/>
      </c>
      <c r="E319" s="11">
        <f>IF($K319=E$8,1+IF(OFFSET(E319,-1,0)="",0,OFFSET(E319,-1,0)),IF(E$8&lt;$K319,IF(OFFSET(E319,-1,0)="","ERR",OFFSET(E319,-1,0)),""))</f>
        <v/>
      </c>
      <c r="F319" s="11">
        <f>IF($K319=F$8,1+IF(OFFSET(F319,-1,0)="",0,OFFSET(F319,-1,0)),IF(F$8&lt;$K319,IF(OFFSET(F319,-1,0)="","ERR",OFFSET(F319,-1,0)),""))</f>
        <v/>
      </c>
      <c r="G319" s="11">
        <f>IF($K319=G$8,1+IF(OFFSET(G319,-1,0)="",0,OFFSET(G319,-1,0)),IF(G$8&lt;$K319,IF(OFFSET(G319,-1,0)="","ERR",OFFSET(G319,-1,0)),""))</f>
        <v/>
      </c>
      <c r="H319" s="11">
        <f>IF($K319=H$8,1+IF(OFFSET(H319,-1,0)="",0,OFFSET(H319,-1,0)),IF(H$8&lt;$K319,IF(OFFSET(H319,-1,0)="","ERR",OFFSET(H319,-1,0)),""))</f>
        <v/>
      </c>
      <c r="I319" s="11">
        <f>IF($K319=I$8,1+IF(OFFSET(I319,-1,0)="",0,OFFSET(I319,-1,0)),IF(I$8&lt;$K319,IF(OFFSET(I319,-1,0)="","ERR",OFFSET(I319,-1,0)),""))</f>
        <v/>
      </c>
      <c r="J319" s="43">
        <f>_xlfn.TEXTJOIN(".",1,B319:I319)</f>
        <v/>
      </c>
      <c r="K319" s="43" t="inlineStr">
        <is>
          <t>Л5</t>
        </is>
      </c>
      <c r="L319" s="43" t="inlineStr">
        <is>
          <t>3.3.3.13.2</t>
        </is>
      </c>
      <c r="M319" s="44" t="inlineStr">
        <is>
          <t>Оборудование и приборы</t>
        </is>
      </c>
      <c r="N319" s="43" t="n"/>
      <c r="O319" s="9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5" t="n"/>
      <c r="AB319" s="185" t="n"/>
      <c r="AC319" s="186" t="n"/>
      <c r="AD319" s="186" t="n"/>
      <c r="AE319" s="186" t="n"/>
      <c r="AF319" s="186" t="n"/>
      <c r="AG319" s="186" t="n"/>
      <c r="AH319" s="178" t="n"/>
    </row>
    <row r="320" outlineLevel="1" ht="25.5" customHeight="1">
      <c r="A320" s="18" t="inlineStr">
        <is>
          <t>О</t>
        </is>
      </c>
      <c r="B320" s="11">
        <f>IF($K320=B$8,1+IF(OFFSET(B320,-1,0)="",0,OFFSET(B320,-1,0)),IF(B$8&lt;$K320,IF(OFFSET(B320,-1,0)="","ERR",OFFSET(B320,-1,0)),""))</f>
        <v/>
      </c>
      <c r="C320" s="11">
        <f>IF($K320=C$8,1+IF(OFFSET(C320,-1,0)="",0,OFFSET(C320,-1,0)),IF(C$8&lt;$K320,IF(OFFSET(C320,-1,0)="","ERR",OFFSET(C320,-1,0)),""))</f>
        <v/>
      </c>
      <c r="D320" s="11">
        <f>IF($K320=D$8,1+IF(OFFSET(D320,-1,0)="",0,OFFSET(D320,-1,0)),IF(D$8&lt;$K320,IF(OFFSET(D320,-1,0)="","ERR",OFFSET(D320,-1,0)),""))</f>
        <v/>
      </c>
      <c r="E320" s="11">
        <f>IF($K320=E$8,1+IF(OFFSET(E320,-1,0)="",0,OFFSET(E320,-1,0)),IF(E$8&lt;$K320,IF(OFFSET(E320,-1,0)="","ERR",OFFSET(E320,-1,0)),""))</f>
        <v/>
      </c>
      <c r="F320" s="11">
        <f>IF($K320=F$8,1+IF(OFFSET(F320,-1,0)="",0,OFFSET(F320,-1,0)),IF(F$8&lt;$K320,IF(OFFSET(F320,-1,0)="","ERR",OFFSET(F320,-1,0)),""))</f>
        <v/>
      </c>
      <c r="G320" s="11">
        <f>IF($K320=G$8,1+IF(OFFSET(G320,-1,0)="",0,OFFSET(G320,-1,0)),IF(G$8&lt;$K320,IF(OFFSET(G320,-1,0)="","ERR",OFFSET(G320,-1,0)),""))</f>
        <v/>
      </c>
      <c r="H320" s="11">
        <f>IF($K320=H$8,1+IF(OFFSET(H320,-1,0)="",0,OFFSET(H320,-1,0)),IF(H$8&lt;$K320,IF(OFFSET(H320,-1,0)="","ERR",OFFSET(H320,-1,0)),""))</f>
        <v/>
      </c>
      <c r="I320" s="11">
        <f>IF($K320=I$8,1+IF(OFFSET(I320,-1,0)="",0,OFFSET(I320,-1,0)),IF(I$8&lt;$K320,IF(OFFSET(I320,-1,0)="","ERR",OFFSET(I320,-1,0)),""))</f>
        <v/>
      </c>
      <c r="J320" s="46">
        <f>_xlfn.TEXTJOIN(".",1,B320:I320)</f>
        <v/>
      </c>
      <c r="K320" s="46" t="inlineStr">
        <is>
          <t>Л6</t>
        </is>
      </c>
      <c r="L320" s="46" t="inlineStr">
        <is>
          <t>3.3.3.13.2.5</t>
        </is>
      </c>
      <c r="M320" s="47" t="inlineStr">
        <is>
          <t>Монтаж извещателя оптико-электронного: Извещатель охранный точечный электроконтактный радиоканальный мобильный ИО10110-1, РПДК Астра-РИ-М, ТЕКО</t>
        </is>
      </c>
      <c r="N320" s="46" t="inlineStr">
        <is>
          <t>шт</t>
        </is>
      </c>
      <c r="O320" s="94">
        <f>P320+R320+T320+V320</f>
        <v/>
      </c>
      <c r="P320" s="23" t="n"/>
      <c r="Q320" s="23" t="n">
        <v>2</v>
      </c>
      <c r="R320" s="23">
        <f>Q320</f>
        <v/>
      </c>
      <c r="S320" s="23" t="n">
        <v>2</v>
      </c>
      <c r="T320" s="23">
        <f>S320</f>
        <v/>
      </c>
      <c r="U320" s="23" t="n">
        <v>2</v>
      </c>
      <c r="V320" s="23">
        <f>U320</f>
        <v/>
      </c>
      <c r="W320" s="46" t="n"/>
      <c r="X320" s="23" t="n"/>
      <c r="Y320" s="23" t="n"/>
      <c r="Z320" s="23" t="n"/>
      <c r="AA320" s="48" t="n"/>
      <c r="AB320" s="179" t="n"/>
      <c r="AC320" s="180" t="n"/>
      <c r="AD320" s="189">
        <f>SUM(AB320:AC320)</f>
        <v/>
      </c>
      <c r="AE320" s="189">
        <f>AB320*$O320</f>
        <v/>
      </c>
      <c r="AF320" s="189">
        <f>AC320*$O320</f>
        <v/>
      </c>
      <c r="AG320" s="189">
        <f>SUM(AE320:AF320)</f>
        <v/>
      </c>
      <c r="AH320" s="182" t="n"/>
    </row>
    <row r="321" outlineLevel="1" ht="25.5" customHeight="1">
      <c r="A321" s="18" t="inlineStr">
        <is>
          <t>О</t>
        </is>
      </c>
      <c r="B321" s="11">
        <f>IF($K321=B$8,1+IF(OFFSET(B321,-1,0)="",0,OFFSET(B321,-1,0)),IF(B$8&lt;$K321,IF(OFFSET(B321,-1,0)="","ERR",OFFSET(B321,-1,0)),""))</f>
        <v/>
      </c>
      <c r="C321" s="11">
        <f>IF($K321=C$8,1+IF(OFFSET(C321,-1,0)="",0,OFFSET(C321,-1,0)),IF(C$8&lt;$K321,IF(OFFSET(C321,-1,0)="","ERR",OFFSET(C321,-1,0)),""))</f>
        <v/>
      </c>
      <c r="D321" s="11">
        <f>IF($K321=D$8,1+IF(OFFSET(D321,-1,0)="",0,OFFSET(D321,-1,0)),IF(D$8&lt;$K321,IF(OFFSET(D321,-1,0)="","ERR",OFFSET(D321,-1,0)),""))</f>
        <v/>
      </c>
      <c r="E321" s="11">
        <f>IF($K321=E$8,1+IF(OFFSET(E321,-1,0)="",0,OFFSET(E321,-1,0)),IF(E$8&lt;$K321,IF(OFFSET(E321,-1,0)="","ERR",OFFSET(E321,-1,0)),""))</f>
        <v/>
      </c>
      <c r="F321" s="11">
        <f>IF($K321=F$8,1+IF(OFFSET(F321,-1,0)="",0,OFFSET(F321,-1,0)),IF(F$8&lt;$K321,IF(OFFSET(F321,-1,0)="","ERR",OFFSET(F321,-1,0)),""))</f>
        <v/>
      </c>
      <c r="G321" s="11">
        <f>IF($K321=G$8,1+IF(OFFSET(G321,-1,0)="",0,OFFSET(G321,-1,0)),IF(G$8&lt;$K321,IF(OFFSET(G321,-1,0)="","ERR",OFFSET(G321,-1,0)),""))</f>
        <v/>
      </c>
      <c r="H321" s="11">
        <f>IF($K321=H$8,1+IF(OFFSET(H321,-1,0)="",0,OFFSET(H321,-1,0)),IF(H$8&lt;$K321,IF(OFFSET(H321,-1,0)="","ERR",OFFSET(H321,-1,0)),""))</f>
        <v/>
      </c>
      <c r="I321" s="11">
        <f>IF($K321=I$8,1+IF(OFFSET(I321,-1,0)="",0,OFFSET(I321,-1,0)),IF(I$8&lt;$K321,IF(OFFSET(I321,-1,0)="","ERR",OFFSET(I321,-1,0)),""))</f>
        <v/>
      </c>
      <c r="J321" s="46">
        <f>_xlfn.TEXTJOIN(".",1,B321:I321)</f>
        <v/>
      </c>
      <c r="K321" s="46" t="inlineStr">
        <is>
          <t>Л6</t>
        </is>
      </c>
      <c r="L321" s="46" t="inlineStr">
        <is>
          <t>3.3.3.13.2.10</t>
        </is>
      </c>
      <c r="M321" s="47" t="inlineStr">
        <is>
          <t>Монтаж тревожной радиокнопки: Извещатель охранный ручной точечный электроконтактный ИО101-7/1, Астра-321Т, ТЕКО</t>
        </is>
      </c>
      <c r="N321" s="46" t="inlineStr">
        <is>
          <t>шт</t>
        </is>
      </c>
      <c r="O321" s="94">
        <f>P321+R321+T321+V321</f>
        <v/>
      </c>
      <c r="P321" s="23" t="n"/>
      <c r="Q321" s="23" t="n">
        <v>4</v>
      </c>
      <c r="R321" s="23">
        <f>Q321</f>
        <v/>
      </c>
      <c r="S321" s="23" t="n">
        <v>2</v>
      </c>
      <c r="T321" s="23">
        <f>S321</f>
        <v/>
      </c>
      <c r="U321" s="23" t="n">
        <v>1</v>
      </c>
      <c r="V321" s="23">
        <f>U321</f>
        <v/>
      </c>
      <c r="W321" s="46" t="n"/>
      <c r="X321" s="23" t="n"/>
      <c r="Y321" s="23" t="n"/>
      <c r="Z321" s="23" t="n"/>
      <c r="AA321" s="48" t="n"/>
      <c r="AB321" s="179" t="n"/>
      <c r="AC321" s="180" t="n"/>
      <c r="AD321" s="189">
        <f>SUM(AB321:AC321)</f>
        <v/>
      </c>
      <c r="AE321" s="189">
        <f>AB321*$O321</f>
        <v/>
      </c>
      <c r="AF321" s="189">
        <f>AC321*$O321</f>
        <v/>
      </c>
      <c r="AG321" s="189">
        <f>SUM(AE321:AF321)</f>
        <v/>
      </c>
      <c r="AH321" s="182" t="n"/>
    </row>
    <row r="322" outlineLevel="1">
      <c r="A322" s="18" t="inlineStr">
        <is>
          <t>О</t>
        </is>
      </c>
      <c r="B322" s="11">
        <f>IF($K322=B$8,1+IF(OFFSET(B322,-1,0)="",0,OFFSET(B322,-1,0)),IF(B$8&lt;$K322,IF(OFFSET(B322,-1,0)="","ERR",OFFSET(B322,-1,0)),""))</f>
        <v/>
      </c>
      <c r="C322" s="11">
        <f>IF($K322=C$8,1+IF(OFFSET(C322,-1,0)="",0,OFFSET(C322,-1,0)),IF(C$8&lt;$K322,IF(OFFSET(C322,-1,0)="","ERR",OFFSET(C322,-1,0)),""))</f>
        <v/>
      </c>
      <c r="D322" s="11">
        <f>IF($K322=D$8,1+IF(OFFSET(D322,-1,0)="",0,OFFSET(D322,-1,0)),IF(D$8&lt;$K322,IF(OFFSET(D322,-1,0)="","ERR",OFFSET(D322,-1,0)),""))</f>
        <v/>
      </c>
      <c r="E322" s="11">
        <f>IF($K322=E$8,1+IF(OFFSET(E322,-1,0)="",0,OFFSET(E322,-1,0)),IF(E$8&lt;$K322,IF(OFFSET(E322,-1,0)="","ERR",OFFSET(E322,-1,0)),""))</f>
        <v/>
      </c>
      <c r="F322" s="11">
        <f>IF($K322=F$8,1+IF(OFFSET(F322,-1,0)="",0,OFFSET(F322,-1,0)),IF(F$8&lt;$K322,IF(OFFSET(F322,-1,0)="","ERR",OFFSET(F322,-1,0)),""))</f>
        <v/>
      </c>
      <c r="G322" s="11">
        <f>IF($K322=G$8,1+IF(OFFSET(G322,-1,0)="",0,OFFSET(G322,-1,0)),IF(G$8&lt;$K322,IF(OFFSET(G322,-1,0)="","ERR",OFFSET(G322,-1,0)),""))</f>
        <v/>
      </c>
      <c r="H322" s="11">
        <f>IF($K322=H$8,1+IF(OFFSET(H322,-1,0)="",0,OFFSET(H322,-1,0)),IF(H$8&lt;$K322,IF(OFFSET(H322,-1,0)="","ERR",OFFSET(H322,-1,0)),""))</f>
        <v/>
      </c>
      <c r="I322" s="11">
        <f>IF($K322=I$8,1+IF(OFFSET(I322,-1,0)="",0,OFFSET(I322,-1,0)),IF(I$8&lt;$K322,IF(OFFSET(I322,-1,0)="","ERR",OFFSET(I322,-1,0)),""))</f>
        <v/>
      </c>
      <c r="J322" s="46">
        <f>_xlfn.TEXTJOIN(".",1,B322:I322)</f>
        <v/>
      </c>
      <c r="K322" s="46" t="inlineStr">
        <is>
          <t>Л6</t>
        </is>
      </c>
      <c r="L322" s="46" t="inlineStr">
        <is>
          <t>3.3.3.13.2.12</t>
        </is>
      </c>
      <c r="M322" s="47" t="inlineStr">
        <is>
          <t>Монтаж антенны GSM с переходником: Антенна Антей 924 SMA 3м, на кронштейне, Антей 924 SMA, Антей-Ко</t>
        </is>
      </c>
      <c r="N322" s="46" t="inlineStr">
        <is>
          <t>шт</t>
        </is>
      </c>
      <c r="O322" s="94">
        <f>P322+R322+T322+V322</f>
        <v/>
      </c>
      <c r="P322" s="23" t="n"/>
      <c r="Q322" s="23" t="n">
        <v>1</v>
      </c>
      <c r="R322" s="23">
        <f>Q322</f>
        <v/>
      </c>
      <c r="S322" s="23" t="n">
        <v>1</v>
      </c>
      <c r="T322" s="23">
        <f>S322</f>
        <v/>
      </c>
      <c r="U322" s="23" t="n">
        <v>1</v>
      </c>
      <c r="V322" s="23">
        <f>U322</f>
        <v/>
      </c>
      <c r="W322" s="46" t="n"/>
      <c r="X322" s="23" t="n"/>
      <c r="Y322" s="23" t="n"/>
      <c r="Z322" s="23" t="n"/>
      <c r="AA322" s="48" t="n"/>
      <c r="AB322" s="179" t="n"/>
      <c r="AC322" s="180" t="n"/>
      <c r="AD322" s="189">
        <f>SUM(AB322:AC322)</f>
        <v/>
      </c>
      <c r="AE322" s="189">
        <f>AB322*$O322</f>
        <v/>
      </c>
      <c r="AF322" s="189">
        <f>AC322*$O322</f>
        <v/>
      </c>
      <c r="AG322" s="189">
        <f>SUM(AE322:AF322)</f>
        <v/>
      </c>
      <c r="AH322" s="182" t="n"/>
    </row>
    <row r="323" outlineLevel="1">
      <c r="A323" s="18" t="inlineStr">
        <is>
          <t>О</t>
        </is>
      </c>
      <c r="B323" s="11">
        <f>IF($K323=B$8,1+IF(OFFSET(B323,-1,0)="",0,OFFSET(B323,-1,0)),IF(B$8&lt;$K323,IF(OFFSET(B323,-1,0)="","ERR",OFFSET(B323,-1,0)),""))</f>
        <v/>
      </c>
      <c r="C323" s="11">
        <f>IF($K323=C$8,1+IF(OFFSET(C323,-1,0)="",0,OFFSET(C323,-1,0)),IF(C$8&lt;$K323,IF(OFFSET(C323,-1,0)="","ERR",OFFSET(C323,-1,0)),""))</f>
        <v/>
      </c>
      <c r="D323" s="11">
        <f>IF($K323=D$8,1+IF(OFFSET(D323,-1,0)="",0,OFFSET(D323,-1,0)),IF(D$8&lt;$K323,IF(OFFSET(D323,-1,0)="","ERR",OFFSET(D323,-1,0)),""))</f>
        <v/>
      </c>
      <c r="E323" s="11">
        <f>IF($K323=E$8,1+IF(OFFSET(E323,-1,0)="",0,OFFSET(E323,-1,0)),IF(E$8&lt;$K323,IF(OFFSET(E323,-1,0)="","ERR",OFFSET(E323,-1,0)),""))</f>
        <v/>
      </c>
      <c r="F323" s="11">
        <f>IF($K323=F$8,1+IF(OFFSET(F323,-1,0)="",0,OFFSET(F323,-1,0)),IF(F$8&lt;$K323,IF(OFFSET(F323,-1,0)="","ERR",OFFSET(F323,-1,0)),""))</f>
        <v/>
      </c>
      <c r="G323" s="11">
        <f>IF($K323=G$8,1+IF(OFFSET(G323,-1,0)="",0,OFFSET(G323,-1,0)),IF(G$8&lt;$K323,IF(OFFSET(G323,-1,0)="","ERR",OFFSET(G323,-1,0)),""))</f>
        <v/>
      </c>
      <c r="H323" s="11">
        <f>IF($K323=H$8,1+IF(OFFSET(H323,-1,0)="",0,OFFSET(H323,-1,0)),IF(H$8&lt;$K323,IF(OFFSET(H323,-1,0)="","ERR",OFFSET(H323,-1,0)),""))</f>
        <v/>
      </c>
      <c r="I323" s="11">
        <f>IF($K323=I$8,1+IF(OFFSET(I323,-1,0)="",0,OFFSET(I323,-1,0)),IF(I$8&lt;$K323,IF(OFFSET(I323,-1,0)="","ERR",OFFSET(I323,-1,0)),""))</f>
        <v/>
      </c>
      <c r="J323" s="46">
        <f>_xlfn.TEXTJOIN(".",1,B323:I323)</f>
        <v/>
      </c>
      <c r="K323" s="46" t="inlineStr">
        <is>
          <t>Л6</t>
        </is>
      </c>
      <c r="L323" s="46" t="inlineStr">
        <is>
          <t>3.3.3.13.2.12</t>
        </is>
      </c>
      <c r="M323" s="47" t="inlineStr">
        <is>
          <t>Монтаж антенны GSM с переходником: Антенна штырьевая, АШ-433, Альтоника</t>
        </is>
      </c>
      <c r="N323" s="46" t="inlineStr">
        <is>
          <t>шт</t>
        </is>
      </c>
      <c r="O323" s="94">
        <f>P323+R323+T323+V323</f>
        <v/>
      </c>
      <c r="P323" s="23" t="n"/>
      <c r="Q323" s="23" t="n">
        <v>1</v>
      </c>
      <c r="R323" s="23">
        <f>Q323</f>
        <v/>
      </c>
      <c r="S323" s="23" t="n">
        <v>1</v>
      </c>
      <c r="T323" s="23">
        <f>S323</f>
        <v/>
      </c>
      <c r="U323" s="23" t="n">
        <v>1</v>
      </c>
      <c r="V323" s="23">
        <f>U323</f>
        <v/>
      </c>
      <c r="W323" s="46" t="n"/>
      <c r="X323" s="23" t="n"/>
      <c r="Y323" s="23" t="n"/>
      <c r="Z323" s="23" t="n"/>
      <c r="AA323" s="48" t="n"/>
      <c r="AB323" s="179" t="n"/>
      <c r="AC323" s="180" t="n"/>
      <c r="AD323" s="189">
        <f>SUM(AB323:AC323)</f>
        <v/>
      </c>
      <c r="AE323" s="189">
        <f>AB323*$O323</f>
        <v/>
      </c>
      <c r="AF323" s="189">
        <f>AC323*$O323</f>
        <v/>
      </c>
      <c r="AG323" s="189">
        <f>SUM(AE323:AF323)</f>
        <v/>
      </c>
      <c r="AH323" s="182" t="n"/>
    </row>
    <row r="324" outlineLevel="1">
      <c r="A324" s="18" t="inlineStr">
        <is>
          <t>О</t>
        </is>
      </c>
      <c r="B324" s="11">
        <f>IF($K324=B$8,1+IF(OFFSET(B324,-1,0)="",0,OFFSET(B324,-1,0)),IF(B$8&lt;$K324,IF(OFFSET(B324,-1,0)="","ERR",OFFSET(B324,-1,0)),""))</f>
        <v/>
      </c>
      <c r="C324" s="11">
        <f>IF($K324=C$8,1+IF(OFFSET(C324,-1,0)="",0,OFFSET(C324,-1,0)),IF(C$8&lt;$K324,IF(OFFSET(C324,-1,0)="","ERR",OFFSET(C324,-1,0)),""))</f>
        <v/>
      </c>
      <c r="D324" s="11">
        <f>IF($K324=D$8,1+IF(OFFSET(D324,-1,0)="",0,OFFSET(D324,-1,0)),IF(D$8&lt;$K324,IF(OFFSET(D324,-1,0)="","ERR",OFFSET(D324,-1,0)),""))</f>
        <v/>
      </c>
      <c r="E324" s="11">
        <f>IF($K324=E$8,1+IF(OFFSET(E324,-1,0)="",0,OFFSET(E324,-1,0)),IF(E$8&lt;$K324,IF(OFFSET(E324,-1,0)="","ERR",OFFSET(E324,-1,0)),""))</f>
        <v/>
      </c>
      <c r="F324" s="11">
        <f>IF($K324=F$8,1+IF(OFFSET(F324,-1,0)="",0,OFFSET(F324,-1,0)),IF(F$8&lt;$K324,IF(OFFSET(F324,-1,0)="","ERR",OFFSET(F324,-1,0)),""))</f>
        <v/>
      </c>
      <c r="G324" s="11">
        <f>IF($K324=G$8,1+IF(OFFSET(G324,-1,0)="",0,OFFSET(G324,-1,0)),IF(G$8&lt;$K324,IF(OFFSET(G324,-1,0)="","ERR",OFFSET(G324,-1,0)),""))</f>
        <v/>
      </c>
      <c r="H324" s="11">
        <f>IF($K324=H$8,1+IF(OFFSET(H324,-1,0)="",0,OFFSET(H324,-1,0)),IF(H$8&lt;$K324,IF(OFFSET(H324,-1,0)="","ERR",OFFSET(H324,-1,0)),""))</f>
        <v/>
      </c>
      <c r="I324" s="11">
        <f>IF($K324=I$8,1+IF(OFFSET(I324,-1,0)="",0,OFFSET(I324,-1,0)),IF(I$8&lt;$K324,IF(OFFSET(I324,-1,0)="","ERR",OFFSET(I324,-1,0)),""))</f>
        <v/>
      </c>
      <c r="J324" s="46">
        <f>_xlfn.TEXTJOIN(".",1,B324:I324)</f>
        <v/>
      </c>
      <c r="K324" s="46" t="inlineStr">
        <is>
          <t>Л6</t>
        </is>
      </c>
      <c r="L324" s="46" t="inlineStr">
        <is>
          <t>3.3.3.13.2.16</t>
        </is>
      </c>
      <c r="M324" s="47" t="inlineStr">
        <is>
          <t>Монтаж источника питания</t>
        </is>
      </c>
      <c r="N324" s="46" t="inlineStr">
        <is>
          <t>шт</t>
        </is>
      </c>
      <c r="O324" s="94">
        <f>P324+R324+T324+V324</f>
        <v/>
      </c>
      <c r="P324" s="23" t="n"/>
      <c r="Q324" s="23" t="n">
        <v>1</v>
      </c>
      <c r="R324" s="23">
        <f>Q324</f>
        <v/>
      </c>
      <c r="S324" s="23" t="n">
        <v>1</v>
      </c>
      <c r="T324" s="23">
        <f>S324</f>
        <v/>
      </c>
      <c r="U324" s="23" t="n">
        <v>1</v>
      </c>
      <c r="V324" s="23">
        <f>U324</f>
        <v/>
      </c>
      <c r="W324" s="46" t="n"/>
      <c r="X324" s="23" t="n"/>
      <c r="Y324" s="23" t="n"/>
      <c r="Z324" s="23" t="n"/>
      <c r="AA324" s="48" t="n"/>
      <c r="AB324" s="196" t="n"/>
      <c r="AC324" s="180" t="n"/>
      <c r="AD324" s="189">
        <f>SUM(AB324:AC324)</f>
        <v/>
      </c>
      <c r="AE324" s="189">
        <f>AB324*$O324</f>
        <v/>
      </c>
      <c r="AF324" s="189">
        <f>AC324*$O324</f>
        <v/>
      </c>
      <c r="AG324" s="189">
        <f>SUM(AE324:AF324)</f>
        <v/>
      </c>
      <c r="AH324" s="182" t="n"/>
    </row>
    <row r="325" outlineLevel="1" customFormat="1" s="22">
      <c r="A325" s="20" t="inlineStr">
        <is>
          <t>О</t>
        </is>
      </c>
      <c r="B325" s="21">
        <f>IF($K325=B$8,1+IF(OFFSET(B325,-1,0)="",0,OFFSET(B325,-1,0)),IF(B$8&lt;$K325,IF(OFFSET(B325,-1,0)="","ERR",OFFSET(B325,-1,0)),""))</f>
        <v/>
      </c>
      <c r="C325" s="21">
        <f>IF($K325=C$8,1+IF(OFFSET(C325,-1,0)="",0,OFFSET(C325,-1,0)),IF(C$8&lt;$K325,IF(OFFSET(C325,-1,0)="","ERR",OFFSET(C325,-1,0)),""))</f>
        <v/>
      </c>
      <c r="D325" s="21">
        <f>IF($K325=D$8,1+IF(OFFSET(D325,-1,0)="",0,OFFSET(D325,-1,0)),IF(D$8&lt;$K325,IF(OFFSET(D325,-1,0)="","ERR",OFFSET(D325,-1,0)),""))</f>
        <v/>
      </c>
      <c r="E325" s="21">
        <f>IF($K325=E$8,1+IF(OFFSET(E325,-1,0)="",0,OFFSET(E325,-1,0)),IF(E$8&lt;$K325,IF(OFFSET(E325,-1,0)="","ERR",OFFSET(E325,-1,0)),""))</f>
        <v/>
      </c>
      <c r="F325" s="21">
        <f>IF($K325=F$8,1+IF(OFFSET(F325,-1,0)="",0,OFFSET(F325,-1,0)),IF(F$8&lt;$K325,IF(OFFSET(F325,-1,0)="","ERR",OFFSET(F325,-1,0)),""))</f>
        <v/>
      </c>
      <c r="G325" s="21">
        <f>IF($K325=G$8,1+IF(OFFSET(G325,-1,0)="",0,OFFSET(G325,-1,0)),IF(G$8&lt;$K325,IF(OFFSET(G325,-1,0)="","ERR",OFFSET(G325,-1,0)),""))</f>
        <v/>
      </c>
      <c r="H325" s="21">
        <f>IF($K325=H$8,1+IF(OFFSET(H325,-1,0)="",0,OFFSET(H325,-1,0)),IF(H$8&lt;$K325,IF(OFFSET(H325,-1,0)="","ERR",OFFSET(H325,-1,0)),""))</f>
        <v/>
      </c>
      <c r="I325" s="21">
        <f>IF($K325=I$8,1+IF(OFFSET(I325,-1,0)="",0,OFFSET(I325,-1,0)),IF(I$8&lt;$K325,IF(OFFSET(I325,-1,0)="","ERR",OFFSET(I325,-1,0)),""))</f>
        <v/>
      </c>
      <c r="J325" s="56">
        <f>_xlfn.TEXTJOIN(".",1,B325:I325)</f>
        <v/>
      </c>
      <c r="K325" s="56" t="inlineStr">
        <is>
          <t>Л7</t>
        </is>
      </c>
      <c r="L325" s="57" t="n"/>
      <c r="M325" s="66" t="inlineStr">
        <is>
          <t>Блок питания , ИВЭПР 12/2 RS-R3 2x12 БР, ООО «Рубеж»</t>
        </is>
      </c>
      <c r="N325" s="56" t="inlineStr">
        <is>
          <t>шт</t>
        </is>
      </c>
      <c r="O325" s="62">
        <f>P325+R325+T325+V325</f>
        <v/>
      </c>
      <c r="P325" s="24" t="n"/>
      <c r="Q325" s="24" t="n">
        <v>1</v>
      </c>
      <c r="R325" s="24">
        <f>Q325</f>
        <v/>
      </c>
      <c r="S325" s="24" t="n">
        <v>1</v>
      </c>
      <c r="T325" s="24">
        <f>S325</f>
        <v/>
      </c>
      <c r="U325" s="24" t="n">
        <v>1</v>
      </c>
      <c r="V325" s="24">
        <f>U325</f>
        <v/>
      </c>
      <c r="W325" s="50" t="n">
        <v>1</v>
      </c>
      <c r="X325" s="26" t="n">
        <v>1659174829</v>
      </c>
      <c r="Y325" s="26" t="n">
        <v>165901001</v>
      </c>
      <c r="Z325" s="26" t="inlineStr">
        <is>
          <t xml:space="preserve"> "ТК "РУТЕК"</t>
        </is>
      </c>
      <c r="AA325" s="58" t="inlineStr">
        <is>
          <t>ГТ</t>
        </is>
      </c>
      <c r="AB325" s="188" t="n"/>
      <c r="AC325" s="189" t="n"/>
      <c r="AD325" s="190">
        <f>SUM(AB325:AC325)</f>
        <v/>
      </c>
      <c r="AE325" s="190">
        <f>AB325*$O325*$W325</f>
        <v/>
      </c>
      <c r="AF325" s="190">
        <f>AC325*$O325*$W325</f>
        <v/>
      </c>
      <c r="AG325" s="190">
        <f>SUM(AE325:AF325)</f>
        <v/>
      </c>
      <c r="AH325" s="197" t="n"/>
    </row>
    <row r="326" outlineLevel="1" customFormat="1" s="22">
      <c r="A326" s="20" t="inlineStr">
        <is>
          <t>О</t>
        </is>
      </c>
      <c r="B326" s="21">
        <f>IF($K326=B$8,1+IF(OFFSET(B326,-1,0)="",0,OFFSET(B326,-1,0)),IF(B$8&lt;$K326,IF(OFFSET(B326,-1,0)="","ERR",OFFSET(B326,-1,0)),""))</f>
        <v/>
      </c>
      <c r="C326" s="21">
        <f>IF($K326=C$8,1+IF(OFFSET(C326,-1,0)="",0,OFFSET(C326,-1,0)),IF(C$8&lt;$K326,IF(OFFSET(C326,-1,0)="","ERR",OFFSET(C326,-1,0)),""))</f>
        <v/>
      </c>
      <c r="D326" s="21">
        <f>IF($K326=D$8,1+IF(OFFSET(D326,-1,0)="",0,OFFSET(D326,-1,0)),IF(D$8&lt;$K326,IF(OFFSET(D326,-1,0)="","ERR",OFFSET(D326,-1,0)),""))</f>
        <v/>
      </c>
      <c r="E326" s="21">
        <f>IF($K326=E$8,1+IF(OFFSET(E326,-1,0)="",0,OFFSET(E326,-1,0)),IF(E$8&lt;$K326,IF(OFFSET(E326,-1,0)="","ERR",OFFSET(E326,-1,0)),""))</f>
        <v/>
      </c>
      <c r="F326" s="21">
        <f>IF($K326=F$8,1+IF(OFFSET(F326,-1,0)="",0,OFFSET(F326,-1,0)),IF(F$8&lt;$K326,IF(OFFSET(F326,-1,0)="","ERR",OFFSET(F326,-1,0)),""))</f>
        <v/>
      </c>
      <c r="G326" s="21">
        <f>IF($K326=G$8,1+IF(OFFSET(G326,-1,0)="",0,OFFSET(G326,-1,0)),IF(G$8&lt;$K326,IF(OFFSET(G326,-1,0)="","ERR",OFFSET(G326,-1,0)),""))</f>
        <v/>
      </c>
      <c r="H326" s="21">
        <f>IF($K326=H$8,1+IF(OFFSET(H326,-1,0)="",0,OFFSET(H326,-1,0)),IF(H$8&lt;$K326,IF(OFFSET(H326,-1,0)="","ERR",OFFSET(H326,-1,0)),""))</f>
        <v/>
      </c>
      <c r="I326" s="21">
        <f>IF($K326=I$8,1+IF(OFFSET(I326,-1,0)="",0,OFFSET(I326,-1,0)),IF(I$8&lt;$K326,IF(OFFSET(I326,-1,0)="","ERR",OFFSET(I326,-1,0)),""))</f>
        <v/>
      </c>
      <c r="J326" s="59">
        <f>_xlfn.TEXTJOIN(".",1,B326:I326)</f>
        <v/>
      </c>
      <c r="K326" s="59" t="inlineStr">
        <is>
          <t>Л7</t>
        </is>
      </c>
      <c r="L326" s="60" t="n"/>
      <c r="M326" s="64" t="inlineStr">
        <is>
          <t>Сопутствующие и прочие материалы*</t>
        </is>
      </c>
      <c r="N326" s="59" t="inlineStr">
        <is>
          <t>шт</t>
        </is>
      </c>
      <c r="O326" s="95">
        <f>P326+R326+T326+V326</f>
        <v/>
      </c>
      <c r="P326" s="25" t="n"/>
      <c r="Q326" s="25" t="n">
        <v>1</v>
      </c>
      <c r="R326" s="25">
        <f>Q326</f>
        <v/>
      </c>
      <c r="S326" s="25" t="n">
        <v>1</v>
      </c>
      <c r="T326" s="25">
        <f>S326</f>
        <v/>
      </c>
      <c r="U326" s="25" t="n">
        <v>1</v>
      </c>
      <c r="V326" s="25">
        <f>U326</f>
        <v/>
      </c>
      <c r="W326" s="59" t="n"/>
      <c r="X326" s="25" t="n"/>
      <c r="Y326" s="25" t="n"/>
      <c r="Z326" s="25" t="n"/>
      <c r="AA326" s="61" t="n"/>
      <c r="AB326" s="179" t="n"/>
      <c r="AC326" s="190" t="n"/>
      <c r="AD326" s="189">
        <f>SUM(AB326:AC326)</f>
        <v/>
      </c>
      <c r="AE326" s="189">
        <f>AB326*$O326</f>
        <v/>
      </c>
      <c r="AF326" s="189">
        <f>AC326*$O326</f>
        <v/>
      </c>
      <c r="AG326" s="189">
        <f>SUM(AE326:AF326)</f>
        <v/>
      </c>
      <c r="AH326" s="197" t="n"/>
    </row>
    <row r="327" outlineLevel="1">
      <c r="A327" s="18" t="inlineStr">
        <is>
          <t>О</t>
        </is>
      </c>
      <c r="B327" s="11">
        <f>IF($K327=B$8,1+IF(OFFSET(B327,-1,0)="",0,OFFSET(B327,-1,0)),IF(B$8&lt;$K327,IF(OFFSET(B327,-1,0)="","ERR",OFFSET(B327,-1,0)),""))</f>
        <v/>
      </c>
      <c r="C327" s="11">
        <f>IF($K327=C$8,1+IF(OFFSET(C327,-1,0)="",0,OFFSET(C327,-1,0)),IF(C$8&lt;$K327,IF(OFFSET(C327,-1,0)="","ERR",OFFSET(C327,-1,0)),""))</f>
        <v/>
      </c>
      <c r="D327" s="11">
        <f>IF($K327=D$8,1+IF(OFFSET(D327,-1,0)="",0,OFFSET(D327,-1,0)),IF(D$8&lt;$K327,IF(OFFSET(D327,-1,0)="","ERR",OFFSET(D327,-1,0)),""))</f>
        <v/>
      </c>
      <c r="E327" s="11">
        <f>IF($K327=E$8,1+IF(OFFSET(E327,-1,0)="",0,OFFSET(E327,-1,0)),IF(E$8&lt;$K327,IF(OFFSET(E327,-1,0)="","ERR",OFFSET(E327,-1,0)),""))</f>
        <v/>
      </c>
      <c r="F327" s="11">
        <f>IF($K327=F$8,1+IF(OFFSET(F327,-1,0)="",0,OFFSET(F327,-1,0)),IF(F$8&lt;$K327,IF(OFFSET(F327,-1,0)="","ERR",OFFSET(F327,-1,0)),""))</f>
        <v/>
      </c>
      <c r="G327" s="11">
        <f>IF($K327=G$8,1+IF(OFFSET(G327,-1,0)="",0,OFFSET(G327,-1,0)),IF(G$8&lt;$K327,IF(OFFSET(G327,-1,0)="","ERR",OFFSET(G327,-1,0)),""))</f>
        <v/>
      </c>
      <c r="H327" s="11">
        <f>IF($K327=H$8,1+IF(OFFSET(H327,-1,0)="",0,OFFSET(H327,-1,0)),IF(H$8&lt;$K327,IF(OFFSET(H327,-1,0)="","ERR",OFFSET(H327,-1,0)),""))</f>
        <v/>
      </c>
      <c r="I327" s="11">
        <f>IF($K327=I$8,1+IF(OFFSET(I327,-1,0)="",0,OFFSET(I327,-1,0)),IF(I$8&lt;$K327,IF(OFFSET(I327,-1,0)="","ERR",OFFSET(I327,-1,0)),""))</f>
        <v/>
      </c>
      <c r="J327" s="46">
        <f>_xlfn.TEXTJOIN(".",1,B327:I327)</f>
        <v/>
      </c>
      <c r="K327" s="46" t="inlineStr">
        <is>
          <t>Л6</t>
        </is>
      </c>
      <c r="L327" s="46" t="inlineStr">
        <is>
          <t>3.3.3.13.2.17</t>
        </is>
      </c>
      <c r="M327" s="47" t="inlineStr">
        <is>
          <t>Монтаж аккумуляторной батареи: Свинцово-кислотный аккумулятор 7 А/Ч, Delta DT 1212, Delta</t>
        </is>
      </c>
      <c r="N327" s="46" t="inlineStr">
        <is>
          <t>шт</t>
        </is>
      </c>
      <c r="O327" s="94">
        <f>P327+R327+T327+V327</f>
        <v/>
      </c>
      <c r="P327" s="23" t="n"/>
      <c r="Q327" s="23" t="n">
        <v>2</v>
      </c>
      <c r="R327" s="23">
        <f>Q327</f>
        <v/>
      </c>
      <c r="S327" s="23" t="n">
        <v>2</v>
      </c>
      <c r="T327" s="23">
        <f>S327</f>
        <v/>
      </c>
      <c r="U327" s="23" t="n">
        <v>2</v>
      </c>
      <c r="V327" s="23">
        <f>U327</f>
        <v/>
      </c>
      <c r="W327" s="46" t="n"/>
      <c r="X327" s="23" t="n"/>
      <c r="Y327" s="23" t="n"/>
      <c r="Z327" s="23" t="n"/>
      <c r="AA327" s="48" t="n"/>
      <c r="AB327" s="179" t="n"/>
      <c r="AC327" s="180" t="n"/>
      <c r="AD327" s="189">
        <f>SUM(AB327:AC327)</f>
        <v/>
      </c>
      <c r="AE327" s="189">
        <f>AB327*$O327</f>
        <v/>
      </c>
      <c r="AF327" s="189">
        <f>AC327*$O327</f>
        <v/>
      </c>
      <c r="AG327" s="189">
        <f>SUM(AE327:AF327)</f>
        <v/>
      </c>
      <c r="AH327" s="182" t="n"/>
    </row>
    <row r="328" outlineLevel="1">
      <c r="A328" s="18" t="inlineStr">
        <is>
          <t>О</t>
        </is>
      </c>
      <c r="B328" s="11">
        <f>IF($K328=B$8,1+IF(OFFSET(B328,-1,0)="",0,OFFSET(B328,-1,0)),IF(B$8&lt;$K328,IF(OFFSET(B328,-1,0)="","ERR",OFFSET(B328,-1,0)),""))</f>
        <v/>
      </c>
      <c r="C328" s="11">
        <f>IF($K328=C$8,1+IF(OFFSET(C328,-1,0)="",0,OFFSET(C328,-1,0)),IF(C$8&lt;$K328,IF(OFFSET(C328,-1,0)="","ERR",OFFSET(C328,-1,0)),""))</f>
        <v/>
      </c>
      <c r="D328" s="11">
        <f>IF($K328=D$8,1+IF(OFFSET(D328,-1,0)="",0,OFFSET(D328,-1,0)),IF(D$8&lt;$K328,IF(OFFSET(D328,-1,0)="","ERR",OFFSET(D328,-1,0)),""))</f>
        <v/>
      </c>
      <c r="E328" s="11">
        <f>IF($K328=E$8,1+IF(OFFSET(E328,-1,0)="",0,OFFSET(E328,-1,0)),IF(E$8&lt;$K328,IF(OFFSET(E328,-1,0)="","ERR",OFFSET(E328,-1,0)),""))</f>
        <v/>
      </c>
      <c r="F328" s="11">
        <f>IF($K328=F$8,1+IF(OFFSET(F328,-1,0)="",0,OFFSET(F328,-1,0)),IF(F$8&lt;$K328,IF(OFFSET(F328,-1,0)="","ERR",OFFSET(F328,-1,0)),""))</f>
        <v/>
      </c>
      <c r="G328" s="11">
        <f>IF($K328=G$8,1+IF(OFFSET(G328,-1,0)="",0,OFFSET(G328,-1,0)),IF(G$8&lt;$K328,IF(OFFSET(G328,-1,0)="","ERR",OFFSET(G328,-1,0)),""))</f>
        <v/>
      </c>
      <c r="H328" s="11">
        <f>IF($K328=H$8,1+IF(OFFSET(H328,-1,0)="",0,OFFSET(H328,-1,0)),IF(H$8&lt;$K328,IF(OFFSET(H328,-1,0)="","ERR",OFFSET(H328,-1,0)),""))</f>
        <v/>
      </c>
      <c r="I328" s="11">
        <f>IF($K328=I$8,1+IF(OFFSET(I328,-1,0)="",0,OFFSET(I328,-1,0)),IF(I$8&lt;$K328,IF(OFFSET(I328,-1,0)="","ERR",OFFSET(I328,-1,0)),""))</f>
        <v/>
      </c>
      <c r="J328" s="46">
        <f>_xlfn.TEXTJOIN(".",1,B328:I328)</f>
        <v/>
      </c>
      <c r="K328" s="46" t="inlineStr">
        <is>
          <t>Л6</t>
        </is>
      </c>
      <c r="L328" s="46" t="inlineStr">
        <is>
          <t>3.3.3.13.2.18</t>
        </is>
      </c>
      <c r="M328" s="47" t="inlineStr">
        <is>
          <t>Монтаж радиорасширителя: Модуль расширения ШС , МРШ-02, ОБ «Сократ»</t>
        </is>
      </c>
      <c r="N328" s="46" t="inlineStr">
        <is>
          <t>шт</t>
        </is>
      </c>
      <c r="O328" s="94">
        <f>P328+R328+T328+V328</f>
        <v/>
      </c>
      <c r="P328" s="23" t="n"/>
      <c r="Q328" s="23" t="n">
        <v>1</v>
      </c>
      <c r="R328" s="23">
        <f>Q328</f>
        <v/>
      </c>
      <c r="S328" s="23" t="n"/>
      <c r="T328" s="23">
        <f>S328</f>
        <v/>
      </c>
      <c r="U328" s="23" t="n"/>
      <c r="V328" s="23">
        <f>U328</f>
        <v/>
      </c>
      <c r="W328" s="46" t="n"/>
      <c r="X328" s="23" t="n"/>
      <c r="Y328" s="23" t="n"/>
      <c r="Z328" s="23" t="n"/>
      <c r="AA328" s="48" t="n"/>
      <c r="AB328" s="179" t="n"/>
      <c r="AC328" s="180" t="n"/>
      <c r="AD328" s="189">
        <f>SUM(AB328:AC328)</f>
        <v/>
      </c>
      <c r="AE328" s="189">
        <f>AB328*$O328</f>
        <v/>
      </c>
      <c r="AF328" s="189">
        <f>AC328*$O328</f>
        <v/>
      </c>
      <c r="AG328" s="189">
        <f>SUM(AE328:AF328)</f>
        <v/>
      </c>
      <c r="AH328" s="182" t="n"/>
    </row>
    <row r="329" outlineLevel="1">
      <c r="A329" s="18" t="inlineStr">
        <is>
          <t>О</t>
        </is>
      </c>
      <c r="B329" s="11">
        <f>IF($K329=B$8,1+IF(OFFSET(B329,-1,0)="",0,OFFSET(B329,-1,0)),IF(B$8&lt;$K329,IF(OFFSET(B329,-1,0)="","ERR",OFFSET(B329,-1,0)),""))</f>
        <v/>
      </c>
      <c r="C329" s="11">
        <f>IF($K329=C$8,1+IF(OFFSET(C329,-1,0)="",0,OFFSET(C329,-1,0)),IF(C$8&lt;$K329,IF(OFFSET(C329,-1,0)="","ERR",OFFSET(C329,-1,0)),""))</f>
        <v/>
      </c>
      <c r="D329" s="11">
        <f>IF($K329=D$8,1+IF(OFFSET(D329,-1,0)="",0,OFFSET(D329,-1,0)),IF(D$8&lt;$K329,IF(OFFSET(D329,-1,0)="","ERR",OFFSET(D329,-1,0)),""))</f>
        <v/>
      </c>
      <c r="E329" s="11">
        <f>IF($K329=E$8,1+IF(OFFSET(E329,-1,0)="",0,OFFSET(E329,-1,0)),IF(E$8&lt;$K329,IF(OFFSET(E329,-1,0)="","ERR",OFFSET(E329,-1,0)),""))</f>
        <v/>
      </c>
      <c r="F329" s="11">
        <f>IF($K329=F$8,1+IF(OFFSET(F329,-1,0)="",0,OFFSET(F329,-1,0)),IF(F$8&lt;$K329,IF(OFFSET(F329,-1,0)="","ERR",OFFSET(F329,-1,0)),""))</f>
        <v/>
      </c>
      <c r="G329" s="11">
        <f>IF($K329=G$8,1+IF(OFFSET(G329,-1,0)="",0,OFFSET(G329,-1,0)),IF(G$8&lt;$K329,IF(OFFSET(G329,-1,0)="","ERR",OFFSET(G329,-1,0)),""))</f>
        <v/>
      </c>
      <c r="H329" s="11">
        <f>IF($K329=H$8,1+IF(OFFSET(H329,-1,0)="",0,OFFSET(H329,-1,0)),IF(H$8&lt;$K329,IF(OFFSET(H329,-1,0)="","ERR",OFFSET(H329,-1,0)),""))</f>
        <v/>
      </c>
      <c r="I329" s="11">
        <f>IF($K329=I$8,1+IF(OFFSET(I329,-1,0)="",0,OFFSET(I329,-1,0)),IF(I$8&lt;$K329,IF(OFFSET(I329,-1,0)="","ERR",OFFSET(I329,-1,0)),""))</f>
        <v/>
      </c>
      <c r="J329" s="46">
        <f>_xlfn.TEXTJOIN(".",1,B329:I329)</f>
        <v/>
      </c>
      <c r="K329" s="46" t="inlineStr">
        <is>
          <t>Л6</t>
        </is>
      </c>
      <c r="L329" s="46" t="inlineStr">
        <is>
          <t>3.3.3.13.2.18</t>
        </is>
      </c>
      <c r="M329" s="47" t="inlineStr">
        <is>
          <t>Монтаж радиорасширителя: Радиорасширитель , Астра-РИ-М РР, ТЕКО</t>
        </is>
      </c>
      <c r="N329" s="46" t="inlineStr">
        <is>
          <t>шт</t>
        </is>
      </c>
      <c r="O329" s="94">
        <f>P329+R329+T329+V329</f>
        <v/>
      </c>
      <c r="P329" s="23" t="n"/>
      <c r="Q329" s="23" t="n">
        <v>1</v>
      </c>
      <c r="R329" s="23">
        <f>Q329</f>
        <v/>
      </c>
      <c r="S329" s="23" t="n">
        <v>1</v>
      </c>
      <c r="T329" s="23">
        <f>S329</f>
        <v/>
      </c>
      <c r="U329" s="23" t="n">
        <v>1</v>
      </c>
      <c r="V329" s="23">
        <f>U329</f>
        <v/>
      </c>
      <c r="W329" s="46" t="n"/>
      <c r="X329" s="23" t="n"/>
      <c r="Y329" s="23" t="n"/>
      <c r="Z329" s="23" t="n"/>
      <c r="AA329" s="48" t="n"/>
      <c r="AB329" s="179" t="n"/>
      <c r="AC329" s="180" t="n"/>
      <c r="AD329" s="189">
        <f>SUM(AB329:AC329)</f>
        <v/>
      </c>
      <c r="AE329" s="189">
        <f>AB329*$O329</f>
        <v/>
      </c>
      <c r="AF329" s="189">
        <f>AC329*$O329</f>
        <v/>
      </c>
      <c r="AG329" s="189">
        <f>SUM(AE329:AF329)</f>
        <v/>
      </c>
      <c r="AH329" s="182" t="n"/>
    </row>
    <row r="330" outlineLevel="1">
      <c r="A330" s="18" t="inlineStr">
        <is>
          <t>О</t>
        </is>
      </c>
      <c r="B330" s="11">
        <f>IF($K330=B$8,1+IF(OFFSET(B330,-1,0)="",0,OFFSET(B330,-1,0)),IF(B$8&lt;$K330,IF(OFFSET(B330,-1,0)="","ERR",OFFSET(B330,-1,0)),""))</f>
        <v/>
      </c>
      <c r="C330" s="11">
        <f>IF($K330=C$8,1+IF(OFFSET(C330,-1,0)="",0,OFFSET(C330,-1,0)),IF(C$8&lt;$K330,IF(OFFSET(C330,-1,0)="","ERR",OFFSET(C330,-1,0)),""))</f>
        <v/>
      </c>
      <c r="D330" s="11">
        <f>IF($K330=D$8,1+IF(OFFSET(D330,-1,0)="",0,OFFSET(D330,-1,0)),IF(D$8&lt;$K330,IF(OFFSET(D330,-1,0)="","ERR",OFFSET(D330,-1,0)),""))</f>
        <v/>
      </c>
      <c r="E330" s="11">
        <f>IF($K330=E$8,1+IF(OFFSET(E330,-1,0)="",0,OFFSET(E330,-1,0)),IF(E$8&lt;$K330,IF(OFFSET(E330,-1,0)="","ERR",OFFSET(E330,-1,0)),""))</f>
        <v/>
      </c>
      <c r="F330" s="11">
        <f>IF($K330=F$8,1+IF(OFFSET(F330,-1,0)="",0,OFFSET(F330,-1,0)),IF(F$8&lt;$K330,IF(OFFSET(F330,-1,0)="","ERR",OFFSET(F330,-1,0)),""))</f>
        <v/>
      </c>
      <c r="G330" s="11">
        <f>IF($K330=G$8,1+IF(OFFSET(G330,-1,0)="",0,OFFSET(G330,-1,0)),IF(G$8&lt;$K330,IF(OFFSET(G330,-1,0)="","ERR",OFFSET(G330,-1,0)),""))</f>
        <v/>
      </c>
      <c r="H330" s="11">
        <f>IF($K330=H$8,1+IF(OFFSET(H330,-1,0)="",0,OFFSET(H330,-1,0)),IF(H$8&lt;$K330,IF(OFFSET(H330,-1,0)="","ERR",OFFSET(H330,-1,0)),""))</f>
        <v/>
      </c>
      <c r="I330" s="11">
        <f>IF($K330=I$8,1+IF(OFFSET(I330,-1,0)="",0,OFFSET(I330,-1,0)),IF(I$8&lt;$K330,IF(OFFSET(I330,-1,0)="","ERR",OFFSET(I330,-1,0)),""))</f>
        <v/>
      </c>
      <c r="J330" s="46">
        <f>_xlfn.TEXTJOIN(".",1,B330:I330)</f>
        <v/>
      </c>
      <c r="K330" s="46" t="inlineStr">
        <is>
          <t>Л6</t>
        </is>
      </c>
      <c r="L330" s="46" t="inlineStr">
        <is>
          <t>3.3.3.13.2.19</t>
        </is>
      </c>
      <c r="M330" s="47" t="inlineStr">
        <is>
          <t>Монтаж оповещателя: Оповещатель светозвуковой , Маяк-12-КП, Электротехника и Автоматика</t>
        </is>
      </c>
      <c r="N330" s="46" t="inlineStr">
        <is>
          <t>шт</t>
        </is>
      </c>
      <c r="O330" s="94">
        <f>P330+R330+T330+V330</f>
        <v/>
      </c>
      <c r="P330" s="23" t="n"/>
      <c r="Q330" s="23" t="n">
        <v>1</v>
      </c>
      <c r="R330" s="23">
        <f>Q330</f>
        <v/>
      </c>
      <c r="S330" s="23" t="n"/>
      <c r="T330" s="23">
        <f>S330</f>
        <v/>
      </c>
      <c r="U330" s="23" t="n"/>
      <c r="V330" s="23">
        <f>U330</f>
        <v/>
      </c>
      <c r="W330" s="46" t="n"/>
      <c r="X330" s="23" t="n"/>
      <c r="Y330" s="23" t="n"/>
      <c r="Z330" s="23" t="n"/>
      <c r="AA330" s="48" t="n"/>
      <c r="AB330" s="179" t="n"/>
      <c r="AC330" s="180" t="n"/>
      <c r="AD330" s="189">
        <f>SUM(AB330:AC330)</f>
        <v/>
      </c>
      <c r="AE330" s="189">
        <f>AB330*$O330</f>
        <v/>
      </c>
      <c r="AF330" s="189">
        <f>AC330*$O330</f>
        <v/>
      </c>
      <c r="AG330" s="189">
        <f>SUM(AE330:AF330)</f>
        <v/>
      </c>
      <c r="AH330" s="182" t="n"/>
    </row>
    <row r="331" outlineLevel="1">
      <c r="A331" s="18" t="inlineStr">
        <is>
          <t>О</t>
        </is>
      </c>
      <c r="B331" s="11">
        <f>IF($K331=B$8,1+IF(OFFSET(B331,-1,0)="",0,OFFSET(B331,-1,0)),IF(B$8&lt;$K331,IF(OFFSET(B331,-1,0)="","ERR",OFFSET(B331,-1,0)),""))</f>
        <v/>
      </c>
      <c r="C331" s="11">
        <f>IF($K331=C$8,1+IF(OFFSET(C331,-1,0)="",0,OFFSET(C331,-1,0)),IF(C$8&lt;$K331,IF(OFFSET(C331,-1,0)="","ERR",OFFSET(C331,-1,0)),""))</f>
        <v/>
      </c>
      <c r="D331" s="11">
        <f>IF($K331=D$8,1+IF(OFFSET(D331,-1,0)="",0,OFFSET(D331,-1,0)),IF(D$8&lt;$K331,IF(OFFSET(D331,-1,0)="","ERR",OFFSET(D331,-1,0)),""))</f>
        <v/>
      </c>
      <c r="E331" s="11">
        <f>IF($K331=E$8,1+IF(OFFSET(E331,-1,0)="",0,OFFSET(E331,-1,0)),IF(E$8&lt;$K331,IF(OFFSET(E331,-1,0)="","ERR",OFFSET(E331,-1,0)),""))</f>
        <v/>
      </c>
      <c r="F331" s="11">
        <f>IF($K331=F$8,1+IF(OFFSET(F331,-1,0)="",0,OFFSET(F331,-1,0)),IF(F$8&lt;$K331,IF(OFFSET(F331,-1,0)="","ERR",OFFSET(F331,-1,0)),""))</f>
        <v/>
      </c>
      <c r="G331" s="11">
        <f>IF($K331=G$8,1+IF(OFFSET(G331,-1,0)="",0,OFFSET(G331,-1,0)),IF(G$8&lt;$K331,IF(OFFSET(G331,-1,0)="","ERR",OFFSET(G331,-1,0)),""))</f>
        <v/>
      </c>
      <c r="H331" s="11">
        <f>IF($K331=H$8,1+IF(OFFSET(H331,-1,0)="",0,OFFSET(H331,-1,0)),IF(H$8&lt;$K331,IF(OFFSET(H331,-1,0)="","ERR",OFFSET(H331,-1,0)),""))</f>
        <v/>
      </c>
      <c r="I331" s="11">
        <f>IF($K331=I$8,1+IF(OFFSET(I331,-1,0)="",0,OFFSET(I331,-1,0)),IF(I$8&lt;$K331,IF(OFFSET(I331,-1,0)="","ERR",OFFSET(I331,-1,0)),""))</f>
        <v/>
      </c>
      <c r="J331" s="46">
        <f>_xlfn.TEXTJOIN(".",1,B331:I331)</f>
        <v/>
      </c>
      <c r="K331" s="46" t="inlineStr">
        <is>
          <t>Л6</t>
        </is>
      </c>
      <c r="L331" s="46" t="inlineStr">
        <is>
          <t>3.3.3.13.2.20</t>
        </is>
      </c>
      <c r="M331" s="47" t="inlineStr">
        <is>
          <t>Монтаж устройства оконечного объектового: Контроллер СОТС, Приток-А-КОП-02, ОБ «Сократ»</t>
        </is>
      </c>
      <c r="N331" s="46" t="inlineStr">
        <is>
          <t>шт</t>
        </is>
      </c>
      <c r="O331" s="94">
        <f>P331+R331+T331+V331</f>
        <v/>
      </c>
      <c r="P331" s="23" t="n"/>
      <c r="Q331" s="23" t="n">
        <v>1</v>
      </c>
      <c r="R331" s="23">
        <f>Q331</f>
        <v/>
      </c>
      <c r="S331" s="23" t="n">
        <v>1</v>
      </c>
      <c r="T331" s="23">
        <f>S331</f>
        <v/>
      </c>
      <c r="U331" s="23" t="n">
        <v>1</v>
      </c>
      <c r="V331" s="23">
        <f>U331</f>
        <v/>
      </c>
      <c r="W331" s="46" t="n"/>
      <c r="X331" s="23" t="n"/>
      <c r="Y331" s="23" t="n"/>
      <c r="Z331" s="23" t="n"/>
      <c r="AA331" s="48" t="n"/>
      <c r="AB331" s="179" t="n"/>
      <c r="AC331" s="180" t="n"/>
      <c r="AD331" s="189">
        <f>SUM(AB331:AC331)</f>
        <v/>
      </c>
      <c r="AE331" s="189">
        <f>AB331*$O331</f>
        <v/>
      </c>
      <c r="AF331" s="189">
        <f>AC331*$O331</f>
        <v/>
      </c>
      <c r="AG331" s="189">
        <f>SUM(AE331:AF331)</f>
        <v/>
      </c>
      <c r="AH331" s="182" t="n"/>
    </row>
    <row r="332" outlineLevel="1">
      <c r="A332" s="18" t="n"/>
      <c r="B332" s="11">
        <f>IF($K332=B$8,1+IF(OFFSET(B332,-1,0)="",0,OFFSET(B332,-1,0)),IF(B$8&lt;$K332,IF(OFFSET(B332,-1,0)="","ERR",OFFSET(B332,-1,0)),""))</f>
        <v/>
      </c>
      <c r="C332" s="11">
        <f>IF($K332=C$8,1+IF(OFFSET(C332,-1,0)="",0,OFFSET(C332,-1,0)),IF(C$8&lt;$K332,IF(OFFSET(C332,-1,0)="","ERR",OFFSET(C332,-1,0)),""))</f>
        <v/>
      </c>
      <c r="D332" s="11">
        <f>IF($K332=D$8,1+IF(OFFSET(D332,-1,0)="",0,OFFSET(D332,-1,0)),IF(D$8&lt;$K332,IF(OFFSET(D332,-1,0)="","ERR",OFFSET(D332,-1,0)),""))</f>
        <v/>
      </c>
      <c r="E332" s="11">
        <f>IF($K332=E$8,1+IF(OFFSET(E332,-1,0)="",0,OFFSET(E332,-1,0)),IF(E$8&lt;$K332,IF(OFFSET(E332,-1,0)="","ERR",OFFSET(E332,-1,0)),""))</f>
        <v/>
      </c>
      <c r="F332" s="11">
        <f>IF($K332=F$8,1+IF(OFFSET(F332,-1,0)="",0,OFFSET(F332,-1,0)),IF(F$8&lt;$K332,IF(OFFSET(F332,-1,0)="","ERR",OFFSET(F332,-1,0)),""))</f>
        <v/>
      </c>
      <c r="G332" s="11">
        <f>IF($K332=G$8,1+IF(OFFSET(G332,-1,0)="",0,OFFSET(G332,-1,0)),IF(G$8&lt;$K332,IF(OFFSET(G332,-1,0)="","ERR",OFFSET(G332,-1,0)),""))</f>
        <v/>
      </c>
      <c r="H332" s="11">
        <f>IF($K332=H$8,1+IF(OFFSET(H332,-1,0)="",0,OFFSET(H332,-1,0)),IF(H$8&lt;$K332,IF(OFFSET(H332,-1,0)="","ERR",OFFSET(H332,-1,0)),""))</f>
        <v/>
      </c>
      <c r="I332" s="11">
        <f>IF($K332=I$8,1+IF(OFFSET(I332,-1,0)="",0,OFFSET(I332,-1,0)),IF(I$8&lt;$K332,IF(OFFSET(I332,-1,0)="","ERR",OFFSET(I332,-1,0)),""))</f>
        <v/>
      </c>
      <c r="J332" s="43">
        <f>_xlfn.TEXTJOIN(".",1,B332:I332)</f>
        <v/>
      </c>
      <c r="K332" s="43" t="inlineStr">
        <is>
          <t>Л5</t>
        </is>
      </c>
      <c r="L332" s="43" t="inlineStr">
        <is>
          <t>3.3.3.13.3</t>
        </is>
      </c>
      <c r="M332" s="44" t="inlineStr">
        <is>
          <t>Кабельно-проводниковая продукция</t>
        </is>
      </c>
      <c r="N332" s="43" t="n"/>
      <c r="O332" s="9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5" t="n"/>
      <c r="AB332" s="185" t="n"/>
      <c r="AC332" s="186" t="n"/>
      <c r="AD332" s="186" t="n"/>
      <c r="AE332" s="186" t="n"/>
      <c r="AF332" s="186" t="n"/>
      <c r="AG332" s="186" t="n"/>
      <c r="AH332" s="178" t="n"/>
    </row>
    <row r="333" outlineLevel="1" ht="25.5" customHeight="1">
      <c r="A333" s="18" t="inlineStr">
        <is>
          <t>О</t>
        </is>
      </c>
      <c r="B333" s="11">
        <f>IF($K333=B$8,1+IF(OFFSET(B333,-1,0)="",0,OFFSET(B333,-1,0)),IF(B$8&lt;$K333,IF(OFFSET(B333,-1,0)="","ERR",OFFSET(B333,-1,0)),""))</f>
        <v/>
      </c>
      <c r="C333" s="11">
        <f>IF($K333=C$8,1+IF(OFFSET(C333,-1,0)="",0,OFFSET(C333,-1,0)),IF(C$8&lt;$K333,IF(OFFSET(C333,-1,0)="","ERR",OFFSET(C333,-1,0)),""))</f>
        <v/>
      </c>
      <c r="D333" s="11">
        <f>IF($K333=D$8,1+IF(OFFSET(D333,-1,0)="",0,OFFSET(D333,-1,0)),IF(D$8&lt;$K333,IF(OFFSET(D333,-1,0)="","ERR",OFFSET(D333,-1,0)),""))</f>
        <v/>
      </c>
      <c r="E333" s="11">
        <f>IF($K333=E$8,1+IF(OFFSET(E333,-1,0)="",0,OFFSET(E333,-1,0)),IF(E$8&lt;$K333,IF(OFFSET(E333,-1,0)="","ERR",OFFSET(E333,-1,0)),""))</f>
        <v/>
      </c>
      <c r="F333" s="11">
        <f>IF($K333=F$8,1+IF(OFFSET(F333,-1,0)="",0,OFFSET(F333,-1,0)),IF(F$8&lt;$K333,IF(OFFSET(F333,-1,0)="","ERR",OFFSET(F333,-1,0)),""))</f>
        <v/>
      </c>
      <c r="G333" s="11">
        <f>IF($K333=G$8,1+IF(OFFSET(G333,-1,0)="",0,OFFSET(G333,-1,0)),IF(G$8&lt;$K333,IF(OFFSET(G333,-1,0)="","ERR",OFFSET(G333,-1,0)),""))</f>
        <v/>
      </c>
      <c r="H333" s="11">
        <f>IF($K333=H$8,1+IF(OFFSET(H333,-1,0)="",0,OFFSET(H333,-1,0)),IF(H$8&lt;$K333,IF(OFFSET(H333,-1,0)="","ERR",OFFSET(H333,-1,0)),""))</f>
        <v/>
      </c>
      <c r="I333" s="11">
        <f>IF($K333=I$8,1+IF(OFFSET(I333,-1,0)="",0,OFFSET(I333,-1,0)),IF(I$8&lt;$K333,IF(OFFSET(I333,-1,0)="","ERR",OFFSET(I333,-1,0)),""))</f>
        <v/>
      </c>
      <c r="J333" s="46">
        <f>_xlfn.TEXTJOIN(".",1,B333:I333)</f>
        <v/>
      </c>
      <c r="K333" s="46" t="inlineStr">
        <is>
          <t>Л6</t>
        </is>
      </c>
      <c r="L333" s="46" t="inlineStr">
        <is>
          <t>3.3.3.13.3.1</t>
        </is>
      </c>
      <c r="M333" s="47" t="inlineStr">
        <is>
          <t>Прокладка кабеля/провода слаботочных систем и автоматики по конструкциям и в трубах здания: Кабель передачи сигналов управления и питания, КСПВПнг(А)-HF 1х2х0,80, Спецкабель</t>
        </is>
      </c>
      <c r="N333" s="46" t="inlineStr">
        <is>
          <t>пог. м</t>
        </is>
      </c>
      <c r="O333" s="94">
        <f>P333+R333+T333+V333</f>
        <v/>
      </c>
      <c r="P333" s="23" t="n"/>
      <c r="Q333" s="23" t="n">
        <v>494</v>
      </c>
      <c r="R333" s="23">
        <f>Q333</f>
        <v/>
      </c>
      <c r="S333" s="23" t="n">
        <v>155</v>
      </c>
      <c r="T333" s="23">
        <f>S333</f>
        <v/>
      </c>
      <c r="U333" s="23" t="n">
        <v>25</v>
      </c>
      <c r="V333" s="23">
        <f>U333</f>
        <v/>
      </c>
      <c r="W333" s="46" t="n"/>
      <c r="X333" s="23" t="n"/>
      <c r="Y333" s="23" t="n"/>
      <c r="Z333" s="23" t="n"/>
      <c r="AA333" s="48" t="n"/>
      <c r="AB333" s="179" t="n"/>
      <c r="AC333" s="180" t="n"/>
      <c r="AD333" s="189">
        <f>SUM(AB333:AC333)</f>
        <v/>
      </c>
      <c r="AE333" s="189">
        <f>AB333*$O333</f>
        <v/>
      </c>
      <c r="AF333" s="189">
        <f>AC333*$O333</f>
        <v/>
      </c>
      <c r="AG333" s="189">
        <f>SUM(AE333:AF333)</f>
        <v/>
      </c>
      <c r="AH333" s="182" t="n"/>
    </row>
    <row r="334" outlineLevel="1" ht="25.5" customHeight="1">
      <c r="A334" s="18" t="inlineStr">
        <is>
          <t>О</t>
        </is>
      </c>
      <c r="B334" s="11">
        <f>IF($K334=B$8,1+IF(OFFSET(B334,-1,0)="",0,OFFSET(B334,-1,0)),IF(B$8&lt;$K334,IF(OFFSET(B334,-1,0)="","ERR",OFFSET(B334,-1,0)),""))</f>
        <v/>
      </c>
      <c r="C334" s="11">
        <f>IF($K334=C$8,1+IF(OFFSET(C334,-1,0)="",0,OFFSET(C334,-1,0)),IF(C$8&lt;$K334,IF(OFFSET(C334,-1,0)="","ERR",OFFSET(C334,-1,0)),""))</f>
        <v/>
      </c>
      <c r="D334" s="11">
        <f>IF($K334=D$8,1+IF(OFFSET(D334,-1,0)="",0,OFFSET(D334,-1,0)),IF(D$8&lt;$K334,IF(OFFSET(D334,-1,0)="","ERR",OFFSET(D334,-1,0)),""))</f>
        <v/>
      </c>
      <c r="E334" s="11">
        <f>IF($K334=E$8,1+IF(OFFSET(E334,-1,0)="",0,OFFSET(E334,-1,0)),IF(E$8&lt;$K334,IF(OFFSET(E334,-1,0)="","ERR",OFFSET(E334,-1,0)),""))</f>
        <v/>
      </c>
      <c r="F334" s="11">
        <f>IF($K334=F$8,1+IF(OFFSET(F334,-1,0)="",0,OFFSET(F334,-1,0)),IF(F$8&lt;$K334,IF(OFFSET(F334,-1,0)="","ERR",OFFSET(F334,-1,0)),""))</f>
        <v/>
      </c>
      <c r="G334" s="11">
        <f>IF($K334=G$8,1+IF(OFFSET(G334,-1,0)="",0,OFFSET(G334,-1,0)),IF(G$8&lt;$K334,IF(OFFSET(G334,-1,0)="","ERR",OFFSET(G334,-1,0)),""))</f>
        <v/>
      </c>
      <c r="H334" s="11">
        <f>IF($K334=H$8,1+IF(OFFSET(H334,-1,0)="",0,OFFSET(H334,-1,0)),IF(H$8&lt;$K334,IF(OFFSET(H334,-1,0)="","ERR",OFFSET(H334,-1,0)),""))</f>
        <v/>
      </c>
      <c r="I334" s="11">
        <f>IF($K334=I$8,1+IF(OFFSET(I334,-1,0)="",0,OFFSET(I334,-1,0)),IF(I$8&lt;$K334,IF(OFFSET(I334,-1,0)="","ERR",OFFSET(I334,-1,0)),""))</f>
        <v/>
      </c>
      <c r="J334" s="46">
        <f>_xlfn.TEXTJOIN(".",1,B334:I334)</f>
        <v/>
      </c>
      <c r="K334" s="46" t="inlineStr">
        <is>
          <t>Л6</t>
        </is>
      </c>
      <c r="L334" s="46" t="inlineStr">
        <is>
          <t>3.3.3.13.3.1</t>
        </is>
      </c>
      <c r="M334" s="47" t="inlineStr">
        <is>
          <t>Прокладка кабеля/провода слаботочных систем и автоматики по конструкциям и в трубах здания: Кабель передачи данных, СПЕЦЛАН U/UTP Cat 6 ZH нг(А)-HF 4x2x0,57, Спецкабель</t>
        </is>
      </c>
      <c r="N334" s="46" t="inlineStr">
        <is>
          <t>пог. м</t>
        </is>
      </c>
      <c r="O334" s="94">
        <f>P334+R334+T334+V334</f>
        <v/>
      </c>
      <c r="P334" s="23" t="n"/>
      <c r="Q334" s="23" t="n">
        <v>85</v>
      </c>
      <c r="R334" s="23">
        <f>Q334</f>
        <v/>
      </c>
      <c r="S334" s="23" t="n">
        <v>10</v>
      </c>
      <c r="T334" s="23">
        <f>S334</f>
        <v/>
      </c>
      <c r="U334" s="23" t="n">
        <v>35</v>
      </c>
      <c r="V334" s="23">
        <f>U334</f>
        <v/>
      </c>
      <c r="W334" s="46" t="n"/>
      <c r="X334" s="23" t="n"/>
      <c r="Y334" s="23" t="n"/>
      <c r="Z334" s="23" t="n"/>
      <c r="AA334" s="48" t="n"/>
      <c r="AB334" s="179" t="n"/>
      <c r="AC334" s="180" t="n"/>
      <c r="AD334" s="189">
        <f>SUM(AB334:AC334)</f>
        <v/>
      </c>
      <c r="AE334" s="189">
        <f>AB334*$O334</f>
        <v/>
      </c>
      <c r="AF334" s="189">
        <f>AC334*$O334</f>
        <v/>
      </c>
      <c r="AG334" s="189">
        <f>SUM(AE334:AF334)</f>
        <v/>
      </c>
      <c r="AH334" s="182" t="n"/>
    </row>
    <row r="335" outlineLevel="1">
      <c r="A335" s="18" t="n"/>
      <c r="B335" s="11">
        <f>IF($K335=B$8,1+IF(OFFSET(B335,-1,0)="",0,OFFSET(B335,-1,0)),IF(B$8&lt;$K335,IF(OFFSET(B335,-1,0)="","ERR",OFFSET(B335,-1,0)),""))</f>
        <v/>
      </c>
      <c r="C335" s="11">
        <f>IF($K335=C$8,1+IF(OFFSET(C335,-1,0)="",0,OFFSET(C335,-1,0)),IF(C$8&lt;$K335,IF(OFFSET(C335,-1,0)="","ERR",OFFSET(C335,-1,0)),""))</f>
        <v/>
      </c>
      <c r="D335" s="11">
        <f>IF($K335=D$8,1+IF(OFFSET(D335,-1,0)="",0,OFFSET(D335,-1,0)),IF(D$8&lt;$K335,IF(OFFSET(D335,-1,0)="","ERR",OFFSET(D335,-1,0)),""))</f>
        <v/>
      </c>
      <c r="E335" s="11">
        <f>IF($K335=E$8,1+IF(OFFSET(E335,-1,0)="",0,OFFSET(E335,-1,0)),IF(E$8&lt;$K335,IF(OFFSET(E335,-1,0)="","ERR",OFFSET(E335,-1,0)),""))</f>
        <v/>
      </c>
      <c r="F335" s="11">
        <f>IF($K335=F$8,1+IF(OFFSET(F335,-1,0)="",0,OFFSET(F335,-1,0)),IF(F$8&lt;$K335,IF(OFFSET(F335,-1,0)="","ERR",OFFSET(F335,-1,0)),""))</f>
        <v/>
      </c>
      <c r="G335" s="11">
        <f>IF($K335=G$8,1+IF(OFFSET(G335,-1,0)="",0,OFFSET(G335,-1,0)),IF(G$8&lt;$K335,IF(OFFSET(G335,-1,0)="","ERR",OFFSET(G335,-1,0)),""))</f>
        <v/>
      </c>
      <c r="H335" s="11">
        <f>IF($K335=H$8,1+IF(OFFSET(H335,-1,0)="",0,OFFSET(H335,-1,0)),IF(H$8&lt;$K335,IF(OFFSET(H335,-1,0)="","ERR",OFFSET(H335,-1,0)),""))</f>
        <v/>
      </c>
      <c r="I335" s="11">
        <f>IF($K335=I$8,1+IF(OFFSET(I335,-1,0)="",0,OFFSET(I335,-1,0)),IF(I$8&lt;$K335,IF(OFFSET(I335,-1,0)="","ERR",OFFSET(I335,-1,0)),""))</f>
        <v/>
      </c>
      <c r="J335" s="43">
        <f>_xlfn.TEXTJOIN(".",1,B335:I335)</f>
        <v/>
      </c>
      <c r="K335" s="43" t="inlineStr">
        <is>
          <t>Л5</t>
        </is>
      </c>
      <c r="L335" s="43" t="inlineStr">
        <is>
          <t>3.3.3.13.4</t>
        </is>
      </c>
      <c r="M335" s="44" t="inlineStr">
        <is>
          <t>Трубы, гофра, кабеленесущие конструкции</t>
        </is>
      </c>
      <c r="N335" s="43" t="n"/>
      <c r="O335" s="9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5" t="n"/>
      <c r="AB335" s="185" t="n"/>
      <c r="AC335" s="186" t="n"/>
      <c r="AD335" s="186" t="n"/>
      <c r="AE335" s="186" t="n"/>
      <c r="AF335" s="186" t="n"/>
      <c r="AG335" s="186" t="n"/>
      <c r="AH335" s="178" t="n"/>
    </row>
    <row r="336" outlineLevel="1" ht="25.5" customHeight="1">
      <c r="A336" s="18" t="inlineStr">
        <is>
          <t>О</t>
        </is>
      </c>
      <c r="B336" s="11">
        <f>IF($K336=B$8,1+IF(OFFSET(B336,-1,0)="",0,OFFSET(B336,-1,0)),IF(B$8&lt;$K336,IF(OFFSET(B336,-1,0)="","ERR",OFFSET(B336,-1,0)),""))</f>
        <v/>
      </c>
      <c r="C336" s="11">
        <f>IF($K336=C$8,1+IF(OFFSET(C336,-1,0)="",0,OFFSET(C336,-1,0)),IF(C$8&lt;$K336,IF(OFFSET(C336,-1,0)="","ERR",OFFSET(C336,-1,0)),""))</f>
        <v/>
      </c>
      <c r="D336" s="11">
        <f>IF($K336=D$8,1+IF(OFFSET(D336,-1,0)="",0,OFFSET(D336,-1,0)),IF(D$8&lt;$K336,IF(OFFSET(D336,-1,0)="","ERR",OFFSET(D336,-1,0)),""))</f>
        <v/>
      </c>
      <c r="E336" s="11">
        <f>IF($K336=E$8,1+IF(OFFSET(E336,-1,0)="",0,OFFSET(E336,-1,0)),IF(E$8&lt;$K336,IF(OFFSET(E336,-1,0)="","ERR",OFFSET(E336,-1,0)),""))</f>
        <v/>
      </c>
      <c r="F336" s="11">
        <f>IF($K336=F$8,1+IF(OFFSET(F336,-1,0)="",0,OFFSET(F336,-1,0)),IF(F$8&lt;$K336,IF(OFFSET(F336,-1,0)="","ERR",OFFSET(F336,-1,0)),""))</f>
        <v/>
      </c>
      <c r="G336" s="11">
        <f>IF($K336=G$8,1+IF(OFFSET(G336,-1,0)="",0,OFFSET(G336,-1,0)),IF(G$8&lt;$K336,IF(OFFSET(G336,-1,0)="","ERR",OFFSET(G336,-1,0)),""))</f>
        <v/>
      </c>
      <c r="H336" s="11">
        <f>IF($K336=H$8,1+IF(OFFSET(H336,-1,0)="",0,OFFSET(H336,-1,0)),IF(H$8&lt;$K336,IF(OFFSET(H336,-1,0)="","ERR",OFFSET(H336,-1,0)),""))</f>
        <v/>
      </c>
      <c r="I336" s="11">
        <f>IF($K336=I$8,1+IF(OFFSET(I336,-1,0)="",0,OFFSET(I336,-1,0)),IF(I$8&lt;$K336,IF(OFFSET(I336,-1,0)="","ERR",OFFSET(I336,-1,0)),""))</f>
        <v/>
      </c>
      <c r="J336" s="46">
        <f>_xlfn.TEXTJOIN(".",1,B336:I336)</f>
        <v/>
      </c>
      <c r="K336" s="46" t="inlineStr">
        <is>
          <t>Л6</t>
        </is>
      </c>
      <c r="L336" s="46" t="inlineStr">
        <is>
          <t>3.3.3.13.4.1</t>
        </is>
      </c>
      <c r="M336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цвет серый, 91920, DKC</t>
        </is>
      </c>
      <c r="N336" s="46" t="inlineStr">
        <is>
          <t>пог. м</t>
        </is>
      </c>
      <c r="O336" s="94">
        <f>P336+R336+T336+V336</f>
        <v/>
      </c>
      <c r="P336" s="23" t="n"/>
      <c r="Q336" s="23" t="n">
        <v>40</v>
      </c>
      <c r="R336" s="23">
        <f>Q336</f>
        <v/>
      </c>
      <c r="S336" s="23" t="n">
        <v>30</v>
      </c>
      <c r="T336" s="23">
        <f>S336</f>
        <v/>
      </c>
      <c r="U336" s="23" t="n">
        <v>15</v>
      </c>
      <c r="V336" s="23">
        <f>U336</f>
        <v/>
      </c>
      <c r="W336" s="46" t="n"/>
      <c r="X336" s="23" t="n"/>
      <c r="Y336" s="23" t="n"/>
      <c r="Z336" s="23" t="n"/>
      <c r="AA336" s="48" t="n"/>
      <c r="AB336" s="179" t="n"/>
      <c r="AC336" s="180" t="n"/>
      <c r="AD336" s="189">
        <f>SUM(AB336:AC336)</f>
        <v/>
      </c>
      <c r="AE336" s="189">
        <f>AB336*$O336</f>
        <v/>
      </c>
      <c r="AF336" s="189">
        <f>AC336*$O336</f>
        <v/>
      </c>
      <c r="AG336" s="189">
        <f>SUM(AE336:AF336)</f>
        <v/>
      </c>
      <c r="AH336" s="182" t="n"/>
    </row>
    <row r="337">
      <c r="A337" s="18" t="n"/>
      <c r="B337" s="11">
        <f>IF($K337=B$8,1+IF(OFFSET(B337,-1,0)="",0,OFFSET(B337,-1,0)),IF(B$8&lt;$K337,IF(OFFSET(B337,-1,0)="","ERR",OFFSET(B337,-1,0)),""))</f>
        <v/>
      </c>
      <c r="C337" s="11">
        <f>IF($K337=C$8,1+IF(OFFSET(C337,-1,0)="",0,OFFSET(C337,-1,0)),IF(C$8&lt;$K337,IF(OFFSET(C337,-1,0)="","ERR",OFFSET(C337,-1,0)),""))</f>
        <v/>
      </c>
      <c r="D337" s="11">
        <f>IF($K337=D$8,1+IF(OFFSET(D337,-1,0)="",0,OFFSET(D337,-1,0)),IF(D$8&lt;$K337,IF(OFFSET(D337,-1,0)="","ERR",OFFSET(D337,-1,0)),""))</f>
        <v/>
      </c>
      <c r="E337" s="11">
        <f>IF($K337=E$8,1+IF(OFFSET(E337,-1,0)="",0,OFFSET(E337,-1,0)),IF(E$8&lt;$K337,IF(OFFSET(E337,-1,0)="","ERR",OFFSET(E337,-1,0)),""))</f>
        <v/>
      </c>
      <c r="F337" s="11">
        <f>IF($K337=F$8,1+IF(OFFSET(F337,-1,0)="",0,OFFSET(F337,-1,0)),IF(F$8&lt;$K337,IF(OFFSET(F337,-1,0)="","ERR",OFFSET(F337,-1,0)),""))</f>
        <v/>
      </c>
      <c r="G337" s="11">
        <f>IF($K337=G$8,1+IF(OFFSET(G337,-1,0)="",0,OFFSET(G337,-1,0)),IF(G$8&lt;$K337,IF(OFFSET(G337,-1,0)="","ERR",OFFSET(G337,-1,0)),""))</f>
        <v/>
      </c>
      <c r="H337" s="11">
        <f>IF($K337=H$8,1+IF(OFFSET(H337,-1,0)="",0,OFFSET(H337,-1,0)),IF(H$8&lt;$K337,IF(OFFSET(H337,-1,0)="","ERR",OFFSET(H337,-1,0)),""))</f>
        <v/>
      </c>
      <c r="I337" s="11">
        <f>IF($K337=I$8,1+IF(OFFSET(I337,-1,0)="",0,OFFSET(I337,-1,0)),IF(I$8&lt;$K337,IF(OFFSET(I337,-1,0)="","ERR",OFFSET(I337,-1,0)),""))</f>
        <v/>
      </c>
      <c r="J337" s="40">
        <f>_xlfn.TEXTJOIN(".",1,B337:I337)</f>
        <v/>
      </c>
      <c r="K337" s="40" t="inlineStr">
        <is>
          <t>Л4</t>
        </is>
      </c>
      <c r="L337" s="40" t="inlineStr">
        <is>
          <t>3.3.3.15</t>
        </is>
      </c>
      <c r="M337" s="41" t="inlineStr">
        <is>
          <t>СС.КК: Слаботочные системы. Кабельные конструкции</t>
        </is>
      </c>
      <c r="N337" s="40" t="n"/>
      <c r="O337" s="92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2" t="inlineStr">
        <is>
          <t>ПТ-082022-23-Р-СК0</t>
        </is>
      </c>
      <c r="AB337" s="183" t="n"/>
      <c r="AC337" s="184" t="n"/>
      <c r="AD337" s="184" t="n"/>
      <c r="AE337" s="184" t="n"/>
      <c r="AF337" s="184" t="n"/>
      <c r="AG337" s="184" t="n"/>
      <c r="AH337" s="175" t="n"/>
    </row>
    <row r="338" outlineLevel="1">
      <c r="A338" s="18" t="n"/>
      <c r="B338" s="11">
        <f>IF($K338=B$8,1+IF(OFFSET(B338,-1,0)="",0,OFFSET(B338,-1,0)),IF(B$8&lt;$K338,IF(OFFSET(B338,-1,0)="","ERR",OFFSET(B338,-1,0)),""))</f>
        <v/>
      </c>
      <c r="C338" s="11">
        <f>IF($K338=C$8,1+IF(OFFSET(C338,-1,0)="",0,OFFSET(C338,-1,0)),IF(C$8&lt;$K338,IF(OFFSET(C338,-1,0)="","ERR",OFFSET(C338,-1,0)),""))</f>
        <v/>
      </c>
      <c r="D338" s="11">
        <f>IF($K338=D$8,1+IF(OFFSET(D338,-1,0)="",0,OFFSET(D338,-1,0)),IF(D$8&lt;$K338,IF(OFFSET(D338,-1,0)="","ERR",OFFSET(D338,-1,0)),""))</f>
        <v/>
      </c>
      <c r="E338" s="11">
        <f>IF($K338=E$8,1+IF(OFFSET(E338,-1,0)="",0,OFFSET(E338,-1,0)),IF(E$8&lt;$K338,IF(OFFSET(E338,-1,0)="","ERR",OFFSET(E338,-1,0)),""))</f>
        <v/>
      </c>
      <c r="F338" s="11">
        <f>IF($K338=F$8,1+IF(OFFSET(F338,-1,0)="",0,OFFSET(F338,-1,0)),IF(F$8&lt;$K338,IF(OFFSET(F338,-1,0)="","ERR",OFFSET(F338,-1,0)),""))</f>
        <v/>
      </c>
      <c r="G338" s="11">
        <f>IF($K338=G$8,1+IF(OFFSET(G338,-1,0)="",0,OFFSET(G338,-1,0)),IF(G$8&lt;$K338,IF(OFFSET(G338,-1,0)="","ERR",OFFSET(G338,-1,0)),""))</f>
        <v/>
      </c>
      <c r="H338" s="11">
        <f>IF($K338=H$8,1+IF(OFFSET(H338,-1,0)="",0,OFFSET(H338,-1,0)),IF(H$8&lt;$K338,IF(OFFSET(H338,-1,0)="","ERR",OFFSET(H338,-1,0)),""))</f>
        <v/>
      </c>
      <c r="I338" s="11">
        <f>IF($K338=I$8,1+IF(OFFSET(I338,-1,0)="",0,OFFSET(I338,-1,0)),IF(I$8&lt;$K338,IF(OFFSET(I338,-1,0)="","ERR",OFFSET(I338,-1,0)),""))</f>
        <v/>
      </c>
      <c r="J338" s="43">
        <f>_xlfn.TEXTJOIN(".",1,B338:I338)</f>
        <v/>
      </c>
      <c r="K338" s="43" t="inlineStr">
        <is>
          <t>Л5</t>
        </is>
      </c>
      <c r="L338" s="43" t="inlineStr">
        <is>
          <t>3.3.3.15.2</t>
        </is>
      </c>
      <c r="M338" s="44" t="inlineStr">
        <is>
          <t>Кабеленесущие конструкции</t>
        </is>
      </c>
      <c r="N338" s="43" t="n"/>
      <c r="O338" s="9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5" t="n"/>
      <c r="AB338" s="185" t="n"/>
      <c r="AC338" s="186" t="n"/>
      <c r="AD338" s="186" t="n"/>
      <c r="AE338" s="186" t="n"/>
      <c r="AF338" s="186" t="n"/>
      <c r="AG338" s="186" t="n"/>
      <c r="AH338" s="178" t="n"/>
    </row>
    <row r="339" outlineLevel="1" ht="25.5" customHeight="1">
      <c r="A339" s="18" t="inlineStr">
        <is>
          <t>О</t>
        </is>
      </c>
      <c r="B339" s="11">
        <f>IF($K339=B$8,1+IF(OFFSET(B339,-1,0)="",0,OFFSET(B339,-1,0)),IF(B$8&lt;$K339,IF(OFFSET(B339,-1,0)="","ERR",OFFSET(B339,-1,0)),""))</f>
        <v/>
      </c>
      <c r="C339" s="11">
        <f>IF($K339=C$8,1+IF(OFFSET(C339,-1,0)="",0,OFFSET(C339,-1,0)),IF(C$8&lt;$K339,IF(OFFSET(C339,-1,0)="","ERR",OFFSET(C339,-1,0)),""))</f>
        <v/>
      </c>
      <c r="D339" s="11">
        <f>IF($K339=D$8,1+IF(OFFSET(D339,-1,0)="",0,OFFSET(D339,-1,0)),IF(D$8&lt;$K339,IF(OFFSET(D339,-1,0)="","ERR",OFFSET(D339,-1,0)),""))</f>
        <v/>
      </c>
      <c r="E339" s="11">
        <f>IF($K339=E$8,1+IF(OFFSET(E339,-1,0)="",0,OFFSET(E339,-1,0)),IF(E$8&lt;$K339,IF(OFFSET(E339,-1,0)="","ERR",OFFSET(E339,-1,0)),""))</f>
        <v/>
      </c>
      <c r="F339" s="11">
        <f>IF($K339=F$8,1+IF(OFFSET(F339,-1,0)="",0,OFFSET(F339,-1,0)),IF(F$8&lt;$K339,IF(OFFSET(F339,-1,0)="","ERR",OFFSET(F339,-1,0)),""))</f>
        <v/>
      </c>
      <c r="G339" s="11">
        <f>IF($K339=G$8,1+IF(OFFSET(G339,-1,0)="",0,OFFSET(G339,-1,0)),IF(G$8&lt;$K339,IF(OFFSET(G339,-1,0)="","ERR",OFFSET(G339,-1,0)),""))</f>
        <v/>
      </c>
      <c r="H339" s="11">
        <f>IF($K339=H$8,1+IF(OFFSET(H339,-1,0)="",0,OFFSET(H339,-1,0)),IF(H$8&lt;$K339,IF(OFFSET(H339,-1,0)="","ERR",OFFSET(H339,-1,0)),""))</f>
        <v/>
      </c>
      <c r="I339" s="11">
        <f>IF($K339=I$8,1+IF(OFFSET(I339,-1,0)="",0,OFFSET(I339,-1,0)),IF(I$8&lt;$K339,IF(OFFSET(I339,-1,0)="","ERR",OFFSET(I339,-1,0)),""))</f>
        <v/>
      </c>
      <c r="J339" s="46">
        <f>_xlfn.TEXTJOIN(".",1,B339:I339)</f>
        <v/>
      </c>
      <c r="K339" s="46" t="inlineStr">
        <is>
          <t>Л6</t>
        </is>
      </c>
      <c r="L339" s="46" t="inlineStr">
        <is>
          <t>3.3.3.15.2.1</t>
        </is>
      </c>
      <c r="M339" s="47" t="inlineStr">
        <is>
          <t>Монтаж лотка перфорированного/неперфорированного шириной до 100 мм (с учетом системы крепления и соединительных элементов)</t>
        </is>
      </c>
      <c r="N339" s="46" t="inlineStr">
        <is>
          <t>пог. м</t>
        </is>
      </c>
      <c r="O339" s="94">
        <f>P339+R339+T339+V339</f>
        <v/>
      </c>
      <c r="P339" s="23" t="n">
        <v>560.5</v>
      </c>
      <c r="Q339" s="23" t="n"/>
      <c r="R339" s="23" t="n"/>
      <c r="S339" s="23" t="n"/>
      <c r="T339" s="23" t="n"/>
      <c r="U339" s="23" t="n"/>
      <c r="V339" s="23" t="n"/>
      <c r="W339" s="46" t="n"/>
      <c r="X339" s="23" t="n"/>
      <c r="Y339" s="23" t="n"/>
      <c r="Z339" s="23" t="n"/>
      <c r="AA339" s="48" t="n"/>
      <c r="AB339" s="187" t="n"/>
      <c r="AC339" s="180" t="n"/>
      <c r="AD339" s="189">
        <f>SUM(AB339:AC339)</f>
        <v/>
      </c>
      <c r="AE339" s="189">
        <f>AB339*$O339</f>
        <v/>
      </c>
      <c r="AF339" s="189">
        <f>AC339*$O339</f>
        <v/>
      </c>
      <c r="AG339" s="189">
        <f>SUM(AE339:AF339)</f>
        <v/>
      </c>
      <c r="AH339" s="182" t="n"/>
    </row>
    <row r="340" outlineLevel="1" ht="45" customFormat="1" customHeight="1" s="22">
      <c r="A340" s="20" t="inlineStr">
        <is>
          <t>О</t>
        </is>
      </c>
      <c r="B340" s="21">
        <f>IF($K340=B$8,1+IF(OFFSET(B340,-1,0)="",0,OFFSET(B340,-1,0)),IF(B$8&lt;$K340,IF(OFFSET(B340,-1,0)="","ERR",OFFSET(B340,-1,0)),""))</f>
        <v/>
      </c>
      <c r="C340" s="21">
        <f>IF($K340=C$8,1+IF(OFFSET(C340,-1,0)="",0,OFFSET(C340,-1,0)),IF(C$8&lt;$K340,IF(OFFSET(C340,-1,0)="","ERR",OFFSET(C340,-1,0)),""))</f>
        <v/>
      </c>
      <c r="D340" s="21">
        <f>IF($K340=D$8,1+IF(OFFSET(D340,-1,0)="",0,OFFSET(D340,-1,0)),IF(D$8&lt;$K340,IF(OFFSET(D340,-1,0)="","ERR",OFFSET(D340,-1,0)),""))</f>
        <v/>
      </c>
      <c r="E340" s="21">
        <f>IF($K340=E$8,1+IF(OFFSET(E340,-1,0)="",0,OFFSET(E340,-1,0)),IF(E$8&lt;$K340,IF(OFFSET(E340,-1,0)="","ERR",OFFSET(E340,-1,0)),""))</f>
        <v/>
      </c>
      <c r="F340" s="21">
        <f>IF($K340=F$8,1+IF(OFFSET(F340,-1,0)="",0,OFFSET(F340,-1,0)),IF(F$8&lt;$K340,IF(OFFSET(F340,-1,0)="","ERR",OFFSET(F340,-1,0)),""))</f>
        <v/>
      </c>
      <c r="G340" s="21">
        <f>IF($K340=G$8,1+IF(OFFSET(G340,-1,0)="",0,OFFSET(G340,-1,0)),IF(G$8&lt;$K340,IF(OFFSET(G340,-1,0)="","ERR",OFFSET(G340,-1,0)),""))</f>
        <v/>
      </c>
      <c r="H340" s="21">
        <f>IF($K340=H$8,1+IF(OFFSET(H340,-1,0)="",0,OFFSET(H340,-1,0)),IF(H$8&lt;$K340,IF(OFFSET(H340,-1,0)="","ERR",OFFSET(H340,-1,0)),""))</f>
        <v/>
      </c>
      <c r="I340" s="21">
        <f>IF($K340=I$8,1+IF(OFFSET(I340,-1,0)="",0,OFFSET(I340,-1,0)),IF(I$8&lt;$K340,IF(OFFSET(I340,-1,0)="","ERR",OFFSET(I340,-1,0)),""))</f>
        <v/>
      </c>
      <c r="J340" s="56">
        <f>_xlfn.TEXTJOIN(".",1,B340:I340)</f>
        <v/>
      </c>
      <c r="K340" s="56" t="inlineStr">
        <is>
          <t>Л7</t>
        </is>
      </c>
      <c r="L340" s="57" t="n"/>
      <c r="M340" s="66" t="inlineStr">
        <is>
          <t>Лоток неперфорированный 100х100х3000-1,0мм, , L10010000-1, ООО «Электрорешения»</t>
        </is>
      </c>
      <c r="N340" s="56" t="inlineStr">
        <is>
          <t>пог. м</t>
        </is>
      </c>
      <c r="O340" s="62">
        <f>P340+R340+T340+V340</f>
        <v/>
      </c>
      <c r="P340" s="24" t="n">
        <v>72</v>
      </c>
      <c r="Q340" s="24" t="n"/>
      <c r="R340" s="24" t="n"/>
      <c r="S340" s="24" t="n"/>
      <c r="T340" s="24" t="n"/>
      <c r="U340" s="24" t="n"/>
      <c r="V340" s="24" t="n"/>
      <c r="W340" s="62" t="n">
        <v>1.03</v>
      </c>
      <c r="X340" s="26" t="n">
        <v>7721403552</v>
      </c>
      <c r="Y340" s="26" t="n">
        <v>771501001</v>
      </c>
      <c r="Z340" s="26" t="inlineStr">
        <is>
          <t>ООО "Электрорешения"</t>
        </is>
      </c>
      <c r="AA340" s="58" t="inlineStr">
        <is>
          <t>ГТ</t>
        </is>
      </c>
      <c r="AB340" s="191" t="n"/>
      <c r="AC340" s="189" t="n"/>
      <c r="AD340" s="190">
        <f>SUM(AB340:AC340)</f>
        <v/>
      </c>
      <c r="AE340" s="190">
        <f>AB340*$O340*$W340</f>
        <v/>
      </c>
      <c r="AF340" s="190">
        <f>AC340*$O340*$W340</f>
        <v/>
      </c>
      <c r="AG340" s="190">
        <f>SUM(AE340:AF340)</f>
        <v/>
      </c>
      <c r="AH340" s="197" t="n"/>
    </row>
    <row r="341" outlineLevel="1" ht="45" customFormat="1" customHeight="1" s="22">
      <c r="A341" s="20" t="inlineStr">
        <is>
          <t>О</t>
        </is>
      </c>
      <c r="B341" s="21">
        <f>IF($K341=B$8,1+IF(OFFSET(B341,-1,0)="",0,OFFSET(B341,-1,0)),IF(B$8&lt;$K341,IF(OFFSET(B341,-1,0)="","ERR",OFFSET(B341,-1,0)),""))</f>
        <v/>
      </c>
      <c r="C341" s="21">
        <f>IF($K341=C$8,1+IF(OFFSET(C341,-1,0)="",0,OFFSET(C341,-1,0)),IF(C$8&lt;$K341,IF(OFFSET(C341,-1,0)="","ERR",OFFSET(C341,-1,0)),""))</f>
        <v/>
      </c>
      <c r="D341" s="21">
        <f>IF($K341=D$8,1+IF(OFFSET(D341,-1,0)="",0,OFFSET(D341,-1,0)),IF(D$8&lt;$K341,IF(OFFSET(D341,-1,0)="","ERR",OFFSET(D341,-1,0)),""))</f>
        <v/>
      </c>
      <c r="E341" s="21">
        <f>IF($K341=E$8,1+IF(OFFSET(E341,-1,0)="",0,OFFSET(E341,-1,0)),IF(E$8&lt;$K341,IF(OFFSET(E341,-1,0)="","ERR",OFFSET(E341,-1,0)),""))</f>
        <v/>
      </c>
      <c r="F341" s="21">
        <f>IF($K341=F$8,1+IF(OFFSET(F341,-1,0)="",0,OFFSET(F341,-1,0)),IF(F$8&lt;$K341,IF(OFFSET(F341,-1,0)="","ERR",OFFSET(F341,-1,0)),""))</f>
        <v/>
      </c>
      <c r="G341" s="21">
        <f>IF($K341=G$8,1+IF(OFFSET(G341,-1,0)="",0,OFFSET(G341,-1,0)),IF(G$8&lt;$K341,IF(OFFSET(G341,-1,0)="","ERR",OFFSET(G341,-1,0)),""))</f>
        <v/>
      </c>
      <c r="H341" s="21">
        <f>IF($K341=H$8,1+IF(OFFSET(H341,-1,0)="",0,OFFSET(H341,-1,0)),IF(H$8&lt;$K341,IF(OFFSET(H341,-1,0)="","ERR",OFFSET(H341,-1,0)),""))</f>
        <v/>
      </c>
      <c r="I341" s="21">
        <f>IF($K341=I$8,1+IF(OFFSET(I341,-1,0)="",0,OFFSET(I341,-1,0)),IF(I$8&lt;$K341,IF(OFFSET(I341,-1,0)="","ERR",OFFSET(I341,-1,0)),""))</f>
        <v/>
      </c>
      <c r="J341" s="56">
        <f>_xlfn.TEXTJOIN(".",1,B341:I341)</f>
        <v/>
      </c>
      <c r="K341" s="56" t="inlineStr">
        <is>
          <t>Л7</t>
        </is>
      </c>
      <c r="L341" s="57" t="n"/>
      <c r="M341" s="66" t="inlineStr">
        <is>
          <t>Лоток неперфорированный металлический 50х50х3000-1 мм, L505000-1, ООО «Электрорешения»</t>
        </is>
      </c>
      <c r="N341" s="56" t="inlineStr">
        <is>
          <t>пог. м</t>
        </is>
      </c>
      <c r="O341" s="62">
        <f>P341+R341+T341+V341</f>
        <v/>
      </c>
      <c r="P341" s="24" t="n">
        <v>245.4</v>
      </c>
      <c r="Q341" s="24" t="n"/>
      <c r="R341" s="24" t="n"/>
      <c r="S341" s="24" t="n"/>
      <c r="T341" s="24" t="n"/>
      <c r="U341" s="24" t="n"/>
      <c r="V341" s="24" t="n"/>
      <c r="W341" s="62" t="n">
        <v>1.03</v>
      </c>
      <c r="X341" s="26" t="n">
        <v>7721403552</v>
      </c>
      <c r="Y341" s="26" t="n">
        <v>771501001</v>
      </c>
      <c r="Z341" s="26" t="inlineStr">
        <is>
          <t>ООО "Электрорешения"</t>
        </is>
      </c>
      <c r="AA341" s="58" t="inlineStr">
        <is>
          <t>ГТ</t>
        </is>
      </c>
      <c r="AB341" s="191" t="n"/>
      <c r="AC341" s="189" t="n"/>
      <c r="AD341" s="190">
        <f>SUM(AB341:AC341)</f>
        <v/>
      </c>
      <c r="AE341" s="190">
        <f>AB341*$O341*$W341</f>
        <v/>
      </c>
      <c r="AF341" s="190">
        <f>AC341*$O341*$W341</f>
        <v/>
      </c>
      <c r="AG341" s="190">
        <f>SUM(AE341:AF341)</f>
        <v/>
      </c>
      <c r="AH341" s="197" t="n"/>
    </row>
    <row r="342" outlineLevel="1" ht="45" customFormat="1" customHeight="1" s="22">
      <c r="A342" s="20" t="inlineStr">
        <is>
          <t>О</t>
        </is>
      </c>
      <c r="B342" s="21">
        <f>IF($K342=B$8,1+IF(OFFSET(B342,-1,0)="",0,OFFSET(B342,-1,0)),IF(B$8&lt;$K342,IF(OFFSET(B342,-1,0)="","ERR",OFFSET(B342,-1,0)),""))</f>
        <v/>
      </c>
      <c r="C342" s="21">
        <f>IF($K342=C$8,1+IF(OFFSET(C342,-1,0)="",0,OFFSET(C342,-1,0)),IF(C$8&lt;$K342,IF(OFFSET(C342,-1,0)="","ERR",OFFSET(C342,-1,0)),""))</f>
        <v/>
      </c>
      <c r="D342" s="21">
        <f>IF($K342=D$8,1+IF(OFFSET(D342,-1,0)="",0,OFFSET(D342,-1,0)),IF(D$8&lt;$K342,IF(OFFSET(D342,-1,0)="","ERR",OFFSET(D342,-1,0)),""))</f>
        <v/>
      </c>
      <c r="E342" s="21">
        <f>IF($K342=E$8,1+IF(OFFSET(E342,-1,0)="",0,OFFSET(E342,-1,0)),IF(E$8&lt;$K342,IF(OFFSET(E342,-1,0)="","ERR",OFFSET(E342,-1,0)),""))</f>
        <v/>
      </c>
      <c r="F342" s="21">
        <f>IF($K342=F$8,1+IF(OFFSET(F342,-1,0)="",0,OFFSET(F342,-1,0)),IF(F$8&lt;$K342,IF(OFFSET(F342,-1,0)="","ERR",OFFSET(F342,-1,0)),""))</f>
        <v/>
      </c>
      <c r="G342" s="21">
        <f>IF($K342=G$8,1+IF(OFFSET(G342,-1,0)="",0,OFFSET(G342,-1,0)),IF(G$8&lt;$K342,IF(OFFSET(G342,-1,0)="","ERR",OFFSET(G342,-1,0)),""))</f>
        <v/>
      </c>
      <c r="H342" s="21">
        <f>IF($K342=H$8,1+IF(OFFSET(H342,-1,0)="",0,OFFSET(H342,-1,0)),IF(H$8&lt;$K342,IF(OFFSET(H342,-1,0)="","ERR",OFFSET(H342,-1,0)),""))</f>
        <v/>
      </c>
      <c r="I342" s="21">
        <f>IF($K342=I$8,1+IF(OFFSET(I342,-1,0)="",0,OFFSET(I342,-1,0)),IF(I$8&lt;$K342,IF(OFFSET(I342,-1,0)="","ERR",OFFSET(I342,-1,0)),""))</f>
        <v/>
      </c>
      <c r="J342" s="56">
        <f>_xlfn.TEXTJOIN(".",1,B342:I342)</f>
        <v/>
      </c>
      <c r="K342" s="56" t="inlineStr">
        <is>
          <t>Л7</t>
        </is>
      </c>
      <c r="L342" s="57" t="n"/>
      <c r="M342" s="66" t="inlineStr">
        <is>
          <t>Лоток неперфорированный металлический 50х100х3000-0.7 мм, L5010000, ООО «Электрорешения»</t>
        </is>
      </c>
      <c r="N342" s="56" t="inlineStr">
        <is>
          <t>пог. м</t>
        </is>
      </c>
      <c r="O342" s="62">
        <f>P342+R342+T342+V342</f>
        <v/>
      </c>
      <c r="P342" s="24" t="n">
        <v>243.1</v>
      </c>
      <c r="Q342" s="24" t="n"/>
      <c r="R342" s="24" t="n"/>
      <c r="S342" s="24" t="n"/>
      <c r="T342" s="24" t="n"/>
      <c r="U342" s="24" t="n"/>
      <c r="V342" s="24" t="n"/>
      <c r="W342" s="62" t="n">
        <v>1.03</v>
      </c>
      <c r="X342" s="26" t="n">
        <v>7721403552</v>
      </c>
      <c r="Y342" s="26" t="n">
        <v>771501001</v>
      </c>
      <c r="Z342" s="26" t="inlineStr">
        <is>
          <t>ООО "Электрорешения"</t>
        </is>
      </c>
      <c r="AA342" s="58" t="inlineStr">
        <is>
          <t>ГТ</t>
        </is>
      </c>
      <c r="AB342" s="191" t="n"/>
      <c r="AC342" s="189" t="n"/>
      <c r="AD342" s="190">
        <f>SUM(AB342:AC342)</f>
        <v/>
      </c>
      <c r="AE342" s="190">
        <f>AB342*$O342*$W342</f>
        <v/>
      </c>
      <c r="AF342" s="190">
        <f>AC342*$O342*$W342</f>
        <v/>
      </c>
      <c r="AG342" s="190">
        <f>SUM(AE342:AF342)</f>
        <v/>
      </c>
      <c r="AH342" s="197" t="n"/>
    </row>
    <row r="343" outlineLevel="1" customFormat="1" s="22">
      <c r="A343" s="20" t="inlineStr">
        <is>
          <t>О</t>
        </is>
      </c>
      <c r="B343" s="21">
        <f>IF($K343=B$8,1+IF(OFFSET(B343,-1,0)="",0,OFFSET(B343,-1,0)),IF(B$8&lt;$K343,IF(OFFSET(B343,-1,0)="","ERR",OFFSET(B343,-1,0)),""))</f>
        <v/>
      </c>
      <c r="C343" s="21">
        <f>IF($K343=C$8,1+IF(OFFSET(C343,-1,0)="",0,OFFSET(C343,-1,0)),IF(C$8&lt;$K343,IF(OFFSET(C343,-1,0)="","ERR",OFFSET(C343,-1,0)),""))</f>
        <v/>
      </c>
      <c r="D343" s="21">
        <f>IF($K343=D$8,1+IF(OFFSET(D343,-1,0)="",0,OFFSET(D343,-1,0)),IF(D$8&lt;$K343,IF(OFFSET(D343,-1,0)="","ERR",OFFSET(D343,-1,0)),""))</f>
        <v/>
      </c>
      <c r="E343" s="21">
        <f>IF($K343=E$8,1+IF(OFFSET(E343,-1,0)="",0,OFFSET(E343,-1,0)),IF(E$8&lt;$K343,IF(OFFSET(E343,-1,0)="","ERR",OFFSET(E343,-1,0)),""))</f>
        <v/>
      </c>
      <c r="F343" s="21">
        <f>IF($K343=F$8,1+IF(OFFSET(F343,-1,0)="",0,OFFSET(F343,-1,0)),IF(F$8&lt;$K343,IF(OFFSET(F343,-1,0)="","ERR",OFFSET(F343,-1,0)),""))</f>
        <v/>
      </c>
      <c r="G343" s="21">
        <f>IF($K343=G$8,1+IF(OFFSET(G343,-1,0)="",0,OFFSET(G343,-1,0)),IF(G$8&lt;$K343,IF(OFFSET(G343,-1,0)="","ERR",OFFSET(G343,-1,0)),""))</f>
        <v/>
      </c>
      <c r="H343" s="21">
        <f>IF($K343=H$8,1+IF(OFFSET(H343,-1,0)="",0,OFFSET(H343,-1,0)),IF(H$8&lt;$K343,IF(OFFSET(H343,-1,0)="","ERR",OFFSET(H343,-1,0)),""))</f>
        <v/>
      </c>
      <c r="I343" s="21">
        <f>IF($K343=I$8,1+IF(OFFSET(I343,-1,0)="",0,OFFSET(I343,-1,0)),IF(I$8&lt;$K343,IF(OFFSET(I343,-1,0)="","ERR",OFFSET(I343,-1,0)),""))</f>
        <v/>
      </c>
      <c r="J343" s="59">
        <f>_xlfn.TEXTJOIN(".",1,B343:I343)</f>
        <v/>
      </c>
      <c r="K343" s="59" t="inlineStr">
        <is>
          <t>Л7</t>
        </is>
      </c>
      <c r="L343" s="60" t="n"/>
      <c r="M343" s="64" t="inlineStr">
        <is>
          <t>Сопутствующие и прочие материалы*</t>
        </is>
      </c>
      <c r="N343" s="59" t="inlineStr">
        <is>
          <t>пог. м</t>
        </is>
      </c>
      <c r="O343" s="95">
        <f>P343+R343+T343+V343</f>
        <v/>
      </c>
      <c r="P343" s="25" t="n">
        <v>560.5</v>
      </c>
      <c r="Q343" s="25" t="n"/>
      <c r="R343" s="25" t="n"/>
      <c r="S343" s="25" t="n"/>
      <c r="T343" s="25" t="n"/>
      <c r="U343" s="25" t="n"/>
      <c r="V343" s="25" t="n"/>
      <c r="W343" s="59" t="n"/>
      <c r="X343" s="25" t="n"/>
      <c r="Y343" s="25" t="n"/>
      <c r="Z343" s="25" t="n"/>
      <c r="AA343" s="61" t="n"/>
      <c r="AB343" s="179" t="n"/>
      <c r="AC343" s="190" t="n"/>
      <c r="AD343" s="189">
        <f>SUM(AB343:AC343)</f>
        <v/>
      </c>
      <c r="AE343" s="189">
        <f>AB343*$O343</f>
        <v/>
      </c>
      <c r="AF343" s="189">
        <f>AC343*$O343</f>
        <v/>
      </c>
      <c r="AG343" s="189">
        <f>SUM(AE343:AF343)</f>
        <v/>
      </c>
      <c r="AH343" s="197" t="n"/>
    </row>
    <row r="344" outlineLevel="1" ht="25.5" customHeight="1">
      <c r="A344" s="18" t="inlineStr">
        <is>
          <t>О</t>
        </is>
      </c>
      <c r="B344" s="11">
        <f>IF($K344=B$8,1+IF(OFFSET(B344,-1,0)="",0,OFFSET(B344,-1,0)),IF(B$8&lt;$K344,IF(OFFSET(B344,-1,0)="","ERR",OFFSET(B344,-1,0)),""))</f>
        <v/>
      </c>
      <c r="C344" s="11">
        <f>IF($K344=C$8,1+IF(OFFSET(C344,-1,0)="",0,OFFSET(C344,-1,0)),IF(C$8&lt;$K344,IF(OFFSET(C344,-1,0)="","ERR",OFFSET(C344,-1,0)),""))</f>
        <v/>
      </c>
      <c r="D344" s="11">
        <f>IF($K344=D$8,1+IF(OFFSET(D344,-1,0)="",0,OFFSET(D344,-1,0)),IF(D$8&lt;$K344,IF(OFFSET(D344,-1,0)="","ERR",OFFSET(D344,-1,0)),""))</f>
        <v/>
      </c>
      <c r="E344" s="11">
        <f>IF($K344=E$8,1+IF(OFFSET(E344,-1,0)="",0,OFFSET(E344,-1,0)),IF(E$8&lt;$K344,IF(OFFSET(E344,-1,0)="","ERR",OFFSET(E344,-1,0)),""))</f>
        <v/>
      </c>
      <c r="F344" s="11">
        <f>IF($K344=F$8,1+IF(OFFSET(F344,-1,0)="",0,OFFSET(F344,-1,0)),IF(F$8&lt;$K344,IF(OFFSET(F344,-1,0)="","ERR",OFFSET(F344,-1,0)),""))</f>
        <v/>
      </c>
      <c r="G344" s="11">
        <f>IF($K344=G$8,1+IF(OFFSET(G344,-1,0)="",0,OFFSET(G344,-1,0)),IF(G$8&lt;$K344,IF(OFFSET(G344,-1,0)="","ERR",OFFSET(G344,-1,0)),""))</f>
        <v/>
      </c>
      <c r="H344" s="11">
        <f>IF($K344=H$8,1+IF(OFFSET(H344,-1,0)="",0,OFFSET(H344,-1,0)),IF(H$8&lt;$K344,IF(OFFSET(H344,-1,0)="","ERR",OFFSET(H344,-1,0)),""))</f>
        <v/>
      </c>
      <c r="I344" s="11">
        <f>IF($K344=I$8,1+IF(OFFSET(I344,-1,0)="",0,OFFSET(I344,-1,0)),IF(I$8&lt;$K344,IF(OFFSET(I344,-1,0)="","ERR",OFFSET(I344,-1,0)),""))</f>
        <v/>
      </c>
      <c r="J344" s="46">
        <f>_xlfn.TEXTJOIN(".",1,B344:I344)</f>
        <v/>
      </c>
      <c r="K344" s="46" t="inlineStr">
        <is>
          <t>Л6</t>
        </is>
      </c>
      <c r="L344" s="46" t="inlineStr">
        <is>
          <t>3.3.3.15.2.2</t>
        </is>
      </c>
      <c r="M344" s="47" t="inlineStr">
        <is>
          <t>Монтаж лотка перфорированного/неперфорированного шириной от 101 мм до 200 мм (с учетом системы крепления и соединительных элементов)</t>
        </is>
      </c>
      <c r="N344" s="46" t="inlineStr">
        <is>
          <t>пог. м</t>
        </is>
      </c>
      <c r="O344" s="94">
        <f>P344+R344+T344+V344</f>
        <v/>
      </c>
      <c r="P344" s="23" t="n">
        <v>1666.7</v>
      </c>
      <c r="Q344" s="23" t="n"/>
      <c r="R344" s="23" t="n"/>
      <c r="S344" s="23" t="n"/>
      <c r="T344" s="23" t="n"/>
      <c r="U344" s="23" t="n"/>
      <c r="V344" s="23" t="n"/>
      <c r="W344" s="46" t="n"/>
      <c r="X344" s="23" t="n"/>
      <c r="Y344" s="23" t="n"/>
      <c r="Z344" s="23" t="n"/>
      <c r="AA344" s="48" t="n"/>
      <c r="AB344" s="187" t="n"/>
      <c r="AC344" s="180" t="n"/>
      <c r="AD344" s="189">
        <f>SUM(AB344:AC344)</f>
        <v/>
      </c>
      <c r="AE344" s="189">
        <f>AB344*$O344</f>
        <v/>
      </c>
      <c r="AF344" s="189">
        <f>AC344*$O344</f>
        <v/>
      </c>
      <c r="AG344" s="189">
        <f>SUM(AE344:AF344)</f>
        <v/>
      </c>
      <c r="AH344" s="182" t="n"/>
    </row>
    <row r="345" outlineLevel="1" ht="45" customFormat="1" customHeight="1" s="22">
      <c r="A345" s="20" t="inlineStr">
        <is>
          <t>О</t>
        </is>
      </c>
      <c r="B345" s="21">
        <f>IF($K345=B$8,1+IF(OFFSET(B345,-1,0)="",0,OFFSET(B345,-1,0)),IF(B$8&lt;$K345,IF(OFFSET(B345,-1,0)="","ERR",OFFSET(B345,-1,0)),""))</f>
        <v/>
      </c>
      <c r="C345" s="21">
        <f>IF($K345=C$8,1+IF(OFFSET(C345,-1,0)="",0,OFFSET(C345,-1,0)),IF(C$8&lt;$K345,IF(OFFSET(C345,-1,0)="","ERR",OFFSET(C345,-1,0)),""))</f>
        <v/>
      </c>
      <c r="D345" s="21">
        <f>IF($K345=D$8,1+IF(OFFSET(D345,-1,0)="",0,OFFSET(D345,-1,0)),IF(D$8&lt;$K345,IF(OFFSET(D345,-1,0)="","ERR",OFFSET(D345,-1,0)),""))</f>
        <v/>
      </c>
      <c r="E345" s="21">
        <f>IF($K345=E$8,1+IF(OFFSET(E345,-1,0)="",0,OFFSET(E345,-1,0)),IF(E$8&lt;$K345,IF(OFFSET(E345,-1,0)="","ERR",OFFSET(E345,-1,0)),""))</f>
        <v/>
      </c>
      <c r="F345" s="21">
        <f>IF($K345=F$8,1+IF(OFFSET(F345,-1,0)="",0,OFFSET(F345,-1,0)),IF(F$8&lt;$K345,IF(OFFSET(F345,-1,0)="","ERR",OFFSET(F345,-1,0)),""))</f>
        <v/>
      </c>
      <c r="G345" s="21">
        <f>IF($K345=G$8,1+IF(OFFSET(G345,-1,0)="",0,OFFSET(G345,-1,0)),IF(G$8&lt;$K345,IF(OFFSET(G345,-1,0)="","ERR",OFFSET(G345,-1,0)),""))</f>
        <v/>
      </c>
      <c r="H345" s="21">
        <f>IF($K345=H$8,1+IF(OFFSET(H345,-1,0)="",0,OFFSET(H345,-1,0)),IF(H$8&lt;$K345,IF(OFFSET(H345,-1,0)="","ERR",OFFSET(H345,-1,0)),""))</f>
        <v/>
      </c>
      <c r="I345" s="21">
        <f>IF($K345=I$8,1+IF(OFFSET(I345,-1,0)="",0,OFFSET(I345,-1,0)),IF(I$8&lt;$K345,IF(OFFSET(I345,-1,0)="","ERR",OFFSET(I345,-1,0)),""))</f>
        <v/>
      </c>
      <c r="J345" s="56">
        <f>_xlfn.TEXTJOIN(".",1,B345:I345)</f>
        <v/>
      </c>
      <c r="K345" s="56" t="inlineStr">
        <is>
          <t>Л7</t>
        </is>
      </c>
      <c r="L345" s="57" t="n"/>
      <c r="M345" s="66" t="inlineStr">
        <is>
          <t>Лоток неперфорированный 100х150х3000-1,0мм, , L10015000-1, ООО «Электрорешения»</t>
        </is>
      </c>
      <c r="N345" s="56" t="inlineStr">
        <is>
          <t>пог. м</t>
        </is>
      </c>
      <c r="O345" s="62">
        <f>P345+R345+T345+V345</f>
        <v/>
      </c>
      <c r="P345" s="24" t="n">
        <v>45.1</v>
      </c>
      <c r="Q345" s="24" t="n"/>
      <c r="R345" s="24" t="n"/>
      <c r="S345" s="24" t="n"/>
      <c r="T345" s="24" t="n"/>
      <c r="U345" s="24" t="n"/>
      <c r="V345" s="24" t="n"/>
      <c r="W345" s="62" t="n">
        <v>1.03</v>
      </c>
      <c r="X345" s="26" t="n">
        <v>7721403552</v>
      </c>
      <c r="Y345" s="26" t="n">
        <v>771501001</v>
      </c>
      <c r="Z345" s="26" t="inlineStr">
        <is>
          <t>ООО "Электрорешения"</t>
        </is>
      </c>
      <c r="AA345" s="58" t="inlineStr">
        <is>
          <t>ГТ</t>
        </is>
      </c>
      <c r="AB345" s="191" t="n"/>
      <c r="AC345" s="189" t="n"/>
      <c r="AD345" s="190">
        <f>SUM(AB345:AC345)</f>
        <v/>
      </c>
      <c r="AE345" s="190">
        <f>AB345*$O345*$W345</f>
        <v/>
      </c>
      <c r="AF345" s="190">
        <f>AC345*$O345*$W345</f>
        <v/>
      </c>
      <c r="AG345" s="190">
        <f>SUM(AE345:AF345)</f>
        <v/>
      </c>
      <c r="AH345" s="197" t="n"/>
    </row>
    <row r="346" outlineLevel="1" ht="45" customFormat="1" customHeight="1" s="22">
      <c r="A346" s="20" t="inlineStr">
        <is>
          <t>О</t>
        </is>
      </c>
      <c r="B346" s="21">
        <f>IF($K346=B$8,1+IF(OFFSET(B346,-1,0)="",0,OFFSET(B346,-1,0)),IF(B$8&lt;$K346,IF(OFFSET(B346,-1,0)="","ERR",OFFSET(B346,-1,0)),""))</f>
        <v/>
      </c>
      <c r="C346" s="21">
        <f>IF($K346=C$8,1+IF(OFFSET(C346,-1,0)="",0,OFFSET(C346,-1,0)),IF(C$8&lt;$K346,IF(OFFSET(C346,-1,0)="","ERR",OFFSET(C346,-1,0)),""))</f>
        <v/>
      </c>
      <c r="D346" s="21">
        <f>IF($K346=D$8,1+IF(OFFSET(D346,-1,0)="",0,OFFSET(D346,-1,0)),IF(D$8&lt;$K346,IF(OFFSET(D346,-1,0)="","ERR",OFFSET(D346,-1,0)),""))</f>
        <v/>
      </c>
      <c r="E346" s="21">
        <f>IF($K346=E$8,1+IF(OFFSET(E346,-1,0)="",0,OFFSET(E346,-1,0)),IF(E$8&lt;$K346,IF(OFFSET(E346,-1,0)="","ERR",OFFSET(E346,-1,0)),""))</f>
        <v/>
      </c>
      <c r="F346" s="21">
        <f>IF($K346=F$8,1+IF(OFFSET(F346,-1,0)="",0,OFFSET(F346,-1,0)),IF(F$8&lt;$K346,IF(OFFSET(F346,-1,0)="","ERR",OFFSET(F346,-1,0)),""))</f>
        <v/>
      </c>
      <c r="G346" s="21">
        <f>IF($K346=G$8,1+IF(OFFSET(G346,-1,0)="",0,OFFSET(G346,-1,0)),IF(G$8&lt;$K346,IF(OFFSET(G346,-1,0)="","ERR",OFFSET(G346,-1,0)),""))</f>
        <v/>
      </c>
      <c r="H346" s="21">
        <f>IF($K346=H$8,1+IF(OFFSET(H346,-1,0)="",0,OFFSET(H346,-1,0)),IF(H$8&lt;$K346,IF(OFFSET(H346,-1,0)="","ERR",OFFSET(H346,-1,0)),""))</f>
        <v/>
      </c>
      <c r="I346" s="21">
        <f>IF($K346=I$8,1+IF(OFFSET(I346,-1,0)="",0,OFFSET(I346,-1,0)),IF(I$8&lt;$K346,IF(OFFSET(I346,-1,0)="","ERR",OFFSET(I346,-1,0)),""))</f>
        <v/>
      </c>
      <c r="J346" s="56">
        <f>_xlfn.TEXTJOIN(".",1,B346:I346)</f>
        <v/>
      </c>
      <c r="K346" s="56" t="inlineStr">
        <is>
          <t>Л7</t>
        </is>
      </c>
      <c r="L346" s="57" t="n"/>
      <c r="M346" s="66" t="inlineStr">
        <is>
          <t>Лоток неперфорированный 50х150х3000-1,0мм, , L5015000-1, ООО «Электрорешения»</t>
        </is>
      </c>
      <c r="N346" s="56" t="inlineStr">
        <is>
          <t>пог. м</t>
        </is>
      </c>
      <c r="O346" s="62">
        <f>P346+R346+T346+V346</f>
        <v/>
      </c>
      <c r="P346" s="24" t="n">
        <v>280</v>
      </c>
      <c r="Q346" s="24" t="n"/>
      <c r="R346" s="24" t="n"/>
      <c r="S346" s="24" t="n"/>
      <c r="T346" s="24" t="n"/>
      <c r="U346" s="24" t="n"/>
      <c r="V346" s="24" t="n"/>
      <c r="W346" s="62" t="n">
        <v>1.03</v>
      </c>
      <c r="X346" s="26" t="n">
        <v>7721403552</v>
      </c>
      <c r="Y346" s="26" t="n">
        <v>771501001</v>
      </c>
      <c r="Z346" s="26" t="inlineStr">
        <is>
          <t>ООО "Электрорешения"</t>
        </is>
      </c>
      <c r="AA346" s="58" t="inlineStr">
        <is>
          <t>ГТ</t>
        </is>
      </c>
      <c r="AB346" s="191" t="n"/>
      <c r="AC346" s="189" t="n"/>
      <c r="AD346" s="190">
        <f>SUM(AB346:AC346)</f>
        <v/>
      </c>
      <c r="AE346" s="190">
        <f>AB346*$O346*$W346</f>
        <v/>
      </c>
      <c r="AF346" s="190">
        <f>AC346*$O346*$W346</f>
        <v/>
      </c>
      <c r="AG346" s="190">
        <f>SUM(AE346:AF346)</f>
        <v/>
      </c>
      <c r="AH346" s="197" t="n"/>
    </row>
    <row r="347" outlineLevel="1" ht="45" customFormat="1" customHeight="1" s="22">
      <c r="A347" s="20" t="inlineStr">
        <is>
          <t>О</t>
        </is>
      </c>
      <c r="B347" s="21">
        <f>IF($K347=B$8,1+IF(OFFSET(B347,-1,0)="",0,OFFSET(B347,-1,0)),IF(B$8&lt;$K347,IF(OFFSET(B347,-1,0)="","ERR",OFFSET(B347,-1,0)),""))</f>
        <v/>
      </c>
      <c r="C347" s="21">
        <f>IF($K347=C$8,1+IF(OFFSET(C347,-1,0)="",0,OFFSET(C347,-1,0)),IF(C$8&lt;$K347,IF(OFFSET(C347,-1,0)="","ERR",OFFSET(C347,-1,0)),""))</f>
        <v/>
      </c>
      <c r="D347" s="21">
        <f>IF($K347=D$8,1+IF(OFFSET(D347,-1,0)="",0,OFFSET(D347,-1,0)),IF(D$8&lt;$K347,IF(OFFSET(D347,-1,0)="","ERR",OFFSET(D347,-1,0)),""))</f>
        <v/>
      </c>
      <c r="E347" s="21">
        <f>IF($K347=E$8,1+IF(OFFSET(E347,-1,0)="",0,OFFSET(E347,-1,0)),IF(E$8&lt;$K347,IF(OFFSET(E347,-1,0)="","ERR",OFFSET(E347,-1,0)),""))</f>
        <v/>
      </c>
      <c r="F347" s="21">
        <f>IF($K347=F$8,1+IF(OFFSET(F347,-1,0)="",0,OFFSET(F347,-1,0)),IF(F$8&lt;$K347,IF(OFFSET(F347,-1,0)="","ERR",OFFSET(F347,-1,0)),""))</f>
        <v/>
      </c>
      <c r="G347" s="21">
        <f>IF($K347=G$8,1+IF(OFFSET(G347,-1,0)="",0,OFFSET(G347,-1,0)),IF(G$8&lt;$K347,IF(OFFSET(G347,-1,0)="","ERR",OFFSET(G347,-1,0)),""))</f>
        <v/>
      </c>
      <c r="H347" s="21">
        <f>IF($K347=H$8,1+IF(OFFSET(H347,-1,0)="",0,OFFSET(H347,-1,0)),IF(H$8&lt;$K347,IF(OFFSET(H347,-1,0)="","ERR",OFFSET(H347,-1,0)),""))</f>
        <v/>
      </c>
      <c r="I347" s="21">
        <f>IF($K347=I$8,1+IF(OFFSET(I347,-1,0)="",0,OFFSET(I347,-1,0)),IF(I$8&lt;$K347,IF(OFFSET(I347,-1,0)="","ERR",OFFSET(I347,-1,0)),""))</f>
        <v/>
      </c>
      <c r="J347" s="56">
        <f>_xlfn.TEXTJOIN(".",1,B347:I347)</f>
        <v/>
      </c>
      <c r="K347" s="56" t="inlineStr">
        <is>
          <t>Л7</t>
        </is>
      </c>
      <c r="L347" s="57" t="n"/>
      <c r="M347" s="66" t="inlineStr">
        <is>
          <t>Лоток неперфорированный 50х200х3000-1,0мм, , L5020000-1, ООО «Электрорешения»</t>
        </is>
      </c>
      <c r="N347" s="56" t="inlineStr">
        <is>
          <t>пог. м</t>
        </is>
      </c>
      <c r="O347" s="62">
        <f>P347+R347+T347+V347</f>
        <v/>
      </c>
      <c r="P347" s="24" t="n">
        <v>1341.6</v>
      </c>
      <c r="Q347" s="24" t="n"/>
      <c r="R347" s="24" t="n"/>
      <c r="S347" s="24" t="n"/>
      <c r="T347" s="24" t="n"/>
      <c r="U347" s="24" t="n"/>
      <c r="V347" s="24" t="n"/>
      <c r="W347" s="62" t="n">
        <v>1.03</v>
      </c>
      <c r="X347" s="26" t="n">
        <v>7721403552</v>
      </c>
      <c r="Y347" s="26" t="n">
        <v>771501001</v>
      </c>
      <c r="Z347" s="26" t="inlineStr">
        <is>
          <t>ООО "Электрорешения"</t>
        </is>
      </c>
      <c r="AA347" s="58" t="inlineStr">
        <is>
          <t>ГТ</t>
        </is>
      </c>
      <c r="AB347" s="191" t="n"/>
      <c r="AC347" s="189" t="n"/>
      <c r="AD347" s="190">
        <f>SUM(AB347:AC347)</f>
        <v/>
      </c>
      <c r="AE347" s="190">
        <f>AB347*$O347*$W347</f>
        <v/>
      </c>
      <c r="AF347" s="190">
        <f>AC347*$O347*$W347</f>
        <v/>
      </c>
      <c r="AG347" s="190">
        <f>SUM(AE347:AF347)</f>
        <v/>
      </c>
      <c r="AH347" s="197" t="n"/>
    </row>
    <row r="348" outlineLevel="1" customFormat="1" s="22">
      <c r="A348" s="20" t="inlineStr">
        <is>
          <t>О</t>
        </is>
      </c>
      <c r="B348" s="21">
        <f>IF($K348=B$8,1+IF(OFFSET(B348,-1,0)="",0,OFFSET(B348,-1,0)),IF(B$8&lt;$K348,IF(OFFSET(B348,-1,0)="","ERR",OFFSET(B348,-1,0)),""))</f>
        <v/>
      </c>
      <c r="C348" s="21">
        <f>IF($K348=C$8,1+IF(OFFSET(C348,-1,0)="",0,OFFSET(C348,-1,0)),IF(C$8&lt;$K348,IF(OFFSET(C348,-1,0)="","ERR",OFFSET(C348,-1,0)),""))</f>
        <v/>
      </c>
      <c r="D348" s="21">
        <f>IF($K348=D$8,1+IF(OFFSET(D348,-1,0)="",0,OFFSET(D348,-1,0)),IF(D$8&lt;$K348,IF(OFFSET(D348,-1,0)="","ERR",OFFSET(D348,-1,0)),""))</f>
        <v/>
      </c>
      <c r="E348" s="21">
        <f>IF($K348=E$8,1+IF(OFFSET(E348,-1,0)="",0,OFFSET(E348,-1,0)),IF(E$8&lt;$K348,IF(OFFSET(E348,-1,0)="","ERR",OFFSET(E348,-1,0)),""))</f>
        <v/>
      </c>
      <c r="F348" s="21">
        <f>IF($K348=F$8,1+IF(OFFSET(F348,-1,0)="",0,OFFSET(F348,-1,0)),IF(F$8&lt;$K348,IF(OFFSET(F348,-1,0)="","ERR",OFFSET(F348,-1,0)),""))</f>
        <v/>
      </c>
      <c r="G348" s="21">
        <f>IF($K348=G$8,1+IF(OFFSET(G348,-1,0)="",0,OFFSET(G348,-1,0)),IF(G$8&lt;$K348,IF(OFFSET(G348,-1,0)="","ERR",OFFSET(G348,-1,0)),""))</f>
        <v/>
      </c>
      <c r="H348" s="21">
        <f>IF($K348=H$8,1+IF(OFFSET(H348,-1,0)="",0,OFFSET(H348,-1,0)),IF(H$8&lt;$K348,IF(OFFSET(H348,-1,0)="","ERR",OFFSET(H348,-1,0)),""))</f>
        <v/>
      </c>
      <c r="I348" s="21">
        <f>IF($K348=I$8,1+IF(OFFSET(I348,-1,0)="",0,OFFSET(I348,-1,0)),IF(I$8&lt;$K348,IF(OFFSET(I348,-1,0)="","ERR",OFFSET(I348,-1,0)),""))</f>
        <v/>
      </c>
      <c r="J348" s="59">
        <f>_xlfn.TEXTJOIN(".",1,B348:I348)</f>
        <v/>
      </c>
      <c r="K348" s="59" t="inlineStr">
        <is>
          <t>Л7</t>
        </is>
      </c>
      <c r="L348" s="60" t="n"/>
      <c r="M348" s="64" t="inlineStr">
        <is>
          <t>Сопутствующие и прочие материалы*</t>
        </is>
      </c>
      <c r="N348" s="59" t="inlineStr">
        <is>
          <t>пог. м</t>
        </is>
      </c>
      <c r="O348" s="95">
        <f>P348+R348+T348+V348</f>
        <v/>
      </c>
      <c r="P348" s="25" t="n">
        <v>1666.7</v>
      </c>
      <c r="Q348" s="25" t="n"/>
      <c r="R348" s="25" t="n"/>
      <c r="S348" s="25" t="n"/>
      <c r="T348" s="25" t="n"/>
      <c r="U348" s="25" t="n"/>
      <c r="V348" s="25" t="n"/>
      <c r="W348" s="59" t="n"/>
      <c r="X348" s="25" t="n"/>
      <c r="Y348" s="25" t="n"/>
      <c r="Z348" s="25" t="n"/>
      <c r="AA348" s="61" t="n"/>
      <c r="AB348" s="179" t="n"/>
      <c r="AC348" s="190" t="n"/>
      <c r="AD348" s="189">
        <f>SUM(AB348:AC348)</f>
        <v/>
      </c>
      <c r="AE348" s="189">
        <f>AB348*$O348</f>
        <v/>
      </c>
      <c r="AF348" s="189">
        <f>AC348*$O348</f>
        <v/>
      </c>
      <c r="AG348" s="189">
        <f>SUM(AE348:AF348)</f>
        <v/>
      </c>
      <c r="AH348" s="197" t="n"/>
    </row>
    <row r="349" outlineLevel="1" ht="25.5" customHeight="1">
      <c r="A349" s="18" t="inlineStr">
        <is>
          <t>О</t>
        </is>
      </c>
      <c r="B349" s="11">
        <f>IF($K349=B$8,1+IF(OFFSET(B349,-1,0)="",0,OFFSET(B349,-1,0)),IF(B$8&lt;$K349,IF(OFFSET(B349,-1,0)="","ERR",OFFSET(B349,-1,0)),""))</f>
        <v/>
      </c>
      <c r="C349" s="11">
        <f>IF($K349=C$8,1+IF(OFFSET(C349,-1,0)="",0,OFFSET(C349,-1,0)),IF(C$8&lt;$K349,IF(OFFSET(C349,-1,0)="","ERR",OFFSET(C349,-1,0)),""))</f>
        <v/>
      </c>
      <c r="D349" s="11">
        <f>IF($K349=D$8,1+IF(OFFSET(D349,-1,0)="",0,OFFSET(D349,-1,0)),IF(D$8&lt;$K349,IF(OFFSET(D349,-1,0)="","ERR",OFFSET(D349,-1,0)),""))</f>
        <v/>
      </c>
      <c r="E349" s="11">
        <f>IF($K349=E$8,1+IF(OFFSET(E349,-1,0)="",0,OFFSET(E349,-1,0)),IF(E$8&lt;$K349,IF(OFFSET(E349,-1,0)="","ERR",OFFSET(E349,-1,0)),""))</f>
        <v/>
      </c>
      <c r="F349" s="11">
        <f>IF($K349=F$8,1+IF(OFFSET(F349,-1,0)="",0,OFFSET(F349,-1,0)),IF(F$8&lt;$K349,IF(OFFSET(F349,-1,0)="","ERR",OFFSET(F349,-1,0)),""))</f>
        <v/>
      </c>
      <c r="G349" s="11">
        <f>IF($K349=G$8,1+IF(OFFSET(G349,-1,0)="",0,OFFSET(G349,-1,0)),IF(G$8&lt;$K349,IF(OFFSET(G349,-1,0)="","ERR",OFFSET(G349,-1,0)),""))</f>
        <v/>
      </c>
      <c r="H349" s="11">
        <f>IF($K349=H$8,1+IF(OFFSET(H349,-1,0)="",0,OFFSET(H349,-1,0)),IF(H$8&lt;$K349,IF(OFFSET(H349,-1,0)="","ERR",OFFSET(H349,-1,0)),""))</f>
        <v/>
      </c>
      <c r="I349" s="11">
        <f>IF($K349=I$8,1+IF(OFFSET(I349,-1,0)="",0,OFFSET(I349,-1,0)),IF(I$8&lt;$K349,IF(OFFSET(I349,-1,0)="","ERR",OFFSET(I349,-1,0)),""))</f>
        <v/>
      </c>
      <c r="J349" s="46">
        <f>_xlfn.TEXTJOIN(".",1,B349:I349)</f>
        <v/>
      </c>
      <c r="K349" s="46" t="inlineStr">
        <is>
          <t>Л6</t>
        </is>
      </c>
      <c r="L349" s="46" t="inlineStr">
        <is>
          <t>3.3.3.15.2.3</t>
        </is>
      </c>
      <c r="M349" s="47" t="inlineStr">
        <is>
          <t>Монтаж лотка перфорированного/неперфорированного шириной от 201 мм до 300 мм (с учетом системы крепления и соединительных элементов)</t>
        </is>
      </c>
      <c r="N349" s="46" t="inlineStr">
        <is>
          <t>пог. м</t>
        </is>
      </c>
      <c r="O349" s="94">
        <f>P349+R349+T349+V349</f>
        <v/>
      </c>
      <c r="P349" s="23" t="n">
        <v>33.1</v>
      </c>
      <c r="Q349" s="23" t="n"/>
      <c r="R349" s="23" t="n"/>
      <c r="S349" s="23" t="n"/>
      <c r="T349" s="23" t="n"/>
      <c r="U349" s="23" t="n"/>
      <c r="V349" s="23" t="n"/>
      <c r="W349" s="46" t="n"/>
      <c r="X349" s="23" t="n"/>
      <c r="Y349" s="23" t="n"/>
      <c r="Z349" s="23" t="n"/>
      <c r="AA349" s="48" t="n"/>
      <c r="AB349" s="187" t="n"/>
      <c r="AC349" s="180" t="n"/>
      <c r="AD349" s="189">
        <f>SUM(AB349:AC349)</f>
        <v/>
      </c>
      <c r="AE349" s="189">
        <f>AB349*$O349</f>
        <v/>
      </c>
      <c r="AF349" s="189">
        <f>AC349*$O349</f>
        <v/>
      </c>
      <c r="AG349" s="189">
        <f>SUM(AE349:AF349)</f>
        <v/>
      </c>
      <c r="AH349" s="182" t="n"/>
    </row>
    <row r="350" outlineLevel="1" ht="45" customFormat="1" customHeight="1" s="22">
      <c r="A350" s="20" t="inlineStr">
        <is>
          <t>О</t>
        </is>
      </c>
      <c r="B350" s="21">
        <f>IF($K350=B$8,1+IF(OFFSET(B350,-1,0)="",0,OFFSET(B350,-1,0)),IF(B$8&lt;$K350,IF(OFFSET(B350,-1,0)="","ERR",OFFSET(B350,-1,0)),""))</f>
        <v/>
      </c>
      <c r="C350" s="21">
        <f>IF($K350=C$8,1+IF(OFFSET(C350,-1,0)="",0,OFFSET(C350,-1,0)),IF(C$8&lt;$K350,IF(OFFSET(C350,-1,0)="","ERR",OFFSET(C350,-1,0)),""))</f>
        <v/>
      </c>
      <c r="D350" s="21">
        <f>IF($K350=D$8,1+IF(OFFSET(D350,-1,0)="",0,OFFSET(D350,-1,0)),IF(D$8&lt;$K350,IF(OFFSET(D350,-1,0)="","ERR",OFFSET(D350,-1,0)),""))</f>
        <v/>
      </c>
      <c r="E350" s="21">
        <f>IF($K350=E$8,1+IF(OFFSET(E350,-1,0)="",0,OFFSET(E350,-1,0)),IF(E$8&lt;$K350,IF(OFFSET(E350,-1,0)="","ERR",OFFSET(E350,-1,0)),""))</f>
        <v/>
      </c>
      <c r="F350" s="21">
        <f>IF($K350=F$8,1+IF(OFFSET(F350,-1,0)="",0,OFFSET(F350,-1,0)),IF(F$8&lt;$K350,IF(OFFSET(F350,-1,0)="","ERR",OFFSET(F350,-1,0)),""))</f>
        <v/>
      </c>
      <c r="G350" s="21">
        <f>IF($K350=G$8,1+IF(OFFSET(G350,-1,0)="",0,OFFSET(G350,-1,0)),IF(G$8&lt;$K350,IF(OFFSET(G350,-1,0)="","ERR",OFFSET(G350,-1,0)),""))</f>
        <v/>
      </c>
      <c r="H350" s="21">
        <f>IF($K350=H$8,1+IF(OFFSET(H350,-1,0)="",0,OFFSET(H350,-1,0)),IF(H$8&lt;$K350,IF(OFFSET(H350,-1,0)="","ERR",OFFSET(H350,-1,0)),""))</f>
        <v/>
      </c>
      <c r="I350" s="21">
        <f>IF($K350=I$8,1+IF(OFFSET(I350,-1,0)="",0,OFFSET(I350,-1,0)),IF(I$8&lt;$K350,IF(OFFSET(I350,-1,0)="","ERR",OFFSET(I350,-1,0)),""))</f>
        <v/>
      </c>
      <c r="J350" s="56">
        <f>_xlfn.TEXTJOIN(".",1,B350:I350)</f>
        <v/>
      </c>
      <c r="K350" s="56" t="inlineStr">
        <is>
          <t>Л7</t>
        </is>
      </c>
      <c r="L350" s="57" t="n"/>
      <c r="M350" s="66" t="inlineStr">
        <is>
          <t>Лоток неперфорированный 100х300х3000-1,0мм, , L10030000-1, ООО «Электрорешения»</t>
        </is>
      </c>
      <c r="N350" s="56" t="inlineStr">
        <is>
          <t>пог. м</t>
        </is>
      </c>
      <c r="O350" s="62">
        <f>P350+R350+T350+V350</f>
        <v/>
      </c>
      <c r="P350" s="24" t="n">
        <v>33.1</v>
      </c>
      <c r="Q350" s="24" t="n"/>
      <c r="R350" s="24" t="n"/>
      <c r="S350" s="24" t="n"/>
      <c r="T350" s="24" t="n"/>
      <c r="U350" s="24" t="n"/>
      <c r="V350" s="24" t="n"/>
      <c r="W350" s="62" t="n">
        <v>1.03</v>
      </c>
      <c r="X350" s="26" t="n">
        <v>7721403552</v>
      </c>
      <c r="Y350" s="26" t="n">
        <v>771501001</v>
      </c>
      <c r="Z350" s="26" t="inlineStr">
        <is>
          <t>ООО "Электрорешения"</t>
        </is>
      </c>
      <c r="AA350" s="58" t="inlineStr">
        <is>
          <t>ГТ</t>
        </is>
      </c>
      <c r="AB350" s="191" t="n"/>
      <c r="AC350" s="189" t="n"/>
      <c r="AD350" s="190">
        <f>SUM(AB350:AC350)</f>
        <v/>
      </c>
      <c r="AE350" s="190">
        <f>AB350*$O350*$W350</f>
        <v/>
      </c>
      <c r="AF350" s="190">
        <f>AC350*$O350*$W350</f>
        <v/>
      </c>
      <c r="AG350" s="190">
        <f>SUM(AE350:AF350)</f>
        <v/>
      </c>
      <c r="AH350" s="197" t="n"/>
    </row>
    <row r="351" outlineLevel="1" customFormat="1" s="22">
      <c r="A351" s="20" t="inlineStr">
        <is>
          <t>О</t>
        </is>
      </c>
      <c r="B351" s="21">
        <f>IF($K351=B$8,1+IF(OFFSET(B351,-1,0)="",0,OFFSET(B351,-1,0)),IF(B$8&lt;$K351,IF(OFFSET(B351,-1,0)="","ERR",OFFSET(B351,-1,0)),""))</f>
        <v/>
      </c>
      <c r="C351" s="21">
        <f>IF($K351=C$8,1+IF(OFFSET(C351,-1,0)="",0,OFFSET(C351,-1,0)),IF(C$8&lt;$K351,IF(OFFSET(C351,-1,0)="","ERR",OFFSET(C351,-1,0)),""))</f>
        <v/>
      </c>
      <c r="D351" s="21">
        <f>IF($K351=D$8,1+IF(OFFSET(D351,-1,0)="",0,OFFSET(D351,-1,0)),IF(D$8&lt;$K351,IF(OFFSET(D351,-1,0)="","ERR",OFFSET(D351,-1,0)),""))</f>
        <v/>
      </c>
      <c r="E351" s="21">
        <f>IF($K351=E$8,1+IF(OFFSET(E351,-1,0)="",0,OFFSET(E351,-1,0)),IF(E$8&lt;$K351,IF(OFFSET(E351,-1,0)="","ERR",OFFSET(E351,-1,0)),""))</f>
        <v/>
      </c>
      <c r="F351" s="21">
        <f>IF($K351=F$8,1+IF(OFFSET(F351,-1,0)="",0,OFFSET(F351,-1,0)),IF(F$8&lt;$K351,IF(OFFSET(F351,-1,0)="","ERR",OFFSET(F351,-1,0)),""))</f>
        <v/>
      </c>
      <c r="G351" s="21">
        <f>IF($K351=G$8,1+IF(OFFSET(G351,-1,0)="",0,OFFSET(G351,-1,0)),IF(G$8&lt;$K351,IF(OFFSET(G351,-1,0)="","ERR",OFFSET(G351,-1,0)),""))</f>
        <v/>
      </c>
      <c r="H351" s="21">
        <f>IF($K351=H$8,1+IF(OFFSET(H351,-1,0)="",0,OFFSET(H351,-1,0)),IF(H$8&lt;$K351,IF(OFFSET(H351,-1,0)="","ERR",OFFSET(H351,-1,0)),""))</f>
        <v/>
      </c>
      <c r="I351" s="21">
        <f>IF($K351=I$8,1+IF(OFFSET(I351,-1,0)="",0,OFFSET(I351,-1,0)),IF(I$8&lt;$K351,IF(OFFSET(I351,-1,0)="","ERR",OFFSET(I351,-1,0)),""))</f>
        <v/>
      </c>
      <c r="J351" s="59">
        <f>_xlfn.TEXTJOIN(".",1,B351:I351)</f>
        <v/>
      </c>
      <c r="K351" s="59" t="inlineStr">
        <is>
          <t>Л7</t>
        </is>
      </c>
      <c r="L351" s="60" t="n"/>
      <c r="M351" s="64" t="inlineStr">
        <is>
          <t>Сопутствующие и прочие материалы*</t>
        </is>
      </c>
      <c r="N351" s="59" t="inlineStr">
        <is>
          <t>пог. м</t>
        </is>
      </c>
      <c r="O351" s="95">
        <f>P351+R351+T351+V351</f>
        <v/>
      </c>
      <c r="P351" s="25" t="n">
        <v>33.1</v>
      </c>
      <c r="Q351" s="25" t="n"/>
      <c r="R351" s="25" t="n"/>
      <c r="S351" s="25" t="n"/>
      <c r="T351" s="25" t="n"/>
      <c r="U351" s="25" t="n"/>
      <c r="V351" s="25" t="n"/>
      <c r="W351" s="59" t="n"/>
      <c r="X351" s="25" t="n"/>
      <c r="Y351" s="25" t="n"/>
      <c r="Z351" s="25" t="n"/>
      <c r="AA351" s="61" t="n"/>
      <c r="AB351" s="179" t="n"/>
      <c r="AC351" s="190" t="n"/>
      <c r="AD351" s="189">
        <f>SUM(AB351:AC351)</f>
        <v/>
      </c>
      <c r="AE351" s="189">
        <f>AB351*$O351</f>
        <v/>
      </c>
      <c r="AF351" s="189">
        <f>AC351*$O351</f>
        <v/>
      </c>
      <c r="AG351" s="189">
        <f>SUM(AE351:AF351)</f>
        <v/>
      </c>
      <c r="AH351" s="197" t="n"/>
    </row>
    <row r="352" outlineLevel="1" ht="25.5" customHeight="1">
      <c r="A352" s="18" t="inlineStr">
        <is>
          <t>О</t>
        </is>
      </c>
      <c r="B352" s="11">
        <f>IF($K352=B$8,1+IF(OFFSET(B352,-1,0)="",0,OFFSET(B352,-1,0)),IF(B$8&lt;$K352,IF(OFFSET(B352,-1,0)="","ERR",OFFSET(B352,-1,0)),""))</f>
        <v/>
      </c>
      <c r="C352" s="11">
        <f>IF($K352=C$8,1+IF(OFFSET(C352,-1,0)="",0,OFFSET(C352,-1,0)),IF(C$8&lt;$K352,IF(OFFSET(C352,-1,0)="","ERR",OFFSET(C352,-1,0)),""))</f>
        <v/>
      </c>
      <c r="D352" s="11">
        <f>IF($K352=D$8,1+IF(OFFSET(D352,-1,0)="",0,OFFSET(D352,-1,0)),IF(D$8&lt;$K352,IF(OFFSET(D352,-1,0)="","ERR",OFFSET(D352,-1,0)),""))</f>
        <v/>
      </c>
      <c r="E352" s="11">
        <f>IF($K352=E$8,1+IF(OFFSET(E352,-1,0)="",0,OFFSET(E352,-1,0)),IF(E$8&lt;$K352,IF(OFFSET(E352,-1,0)="","ERR",OFFSET(E352,-1,0)),""))</f>
        <v/>
      </c>
      <c r="F352" s="11">
        <f>IF($K352=F$8,1+IF(OFFSET(F352,-1,0)="",0,OFFSET(F352,-1,0)),IF(F$8&lt;$K352,IF(OFFSET(F352,-1,0)="","ERR",OFFSET(F352,-1,0)),""))</f>
        <v/>
      </c>
      <c r="G352" s="11">
        <f>IF($K352=G$8,1+IF(OFFSET(G352,-1,0)="",0,OFFSET(G352,-1,0)),IF(G$8&lt;$K352,IF(OFFSET(G352,-1,0)="","ERR",OFFSET(G352,-1,0)),""))</f>
        <v/>
      </c>
      <c r="H352" s="11">
        <f>IF($K352=H$8,1+IF(OFFSET(H352,-1,0)="",0,OFFSET(H352,-1,0)),IF(H$8&lt;$K352,IF(OFFSET(H352,-1,0)="","ERR",OFFSET(H352,-1,0)),""))</f>
        <v/>
      </c>
      <c r="I352" s="11">
        <f>IF($K352=I$8,1+IF(OFFSET(I352,-1,0)="",0,OFFSET(I352,-1,0)),IF(I$8&lt;$K352,IF(OFFSET(I352,-1,0)="","ERR",OFFSET(I352,-1,0)),""))</f>
        <v/>
      </c>
      <c r="J352" s="46">
        <f>_xlfn.TEXTJOIN(".",1,B352:I352)</f>
        <v/>
      </c>
      <c r="K352" s="46" t="inlineStr">
        <is>
          <t>Л6</t>
        </is>
      </c>
      <c r="L352" s="46" t="inlineStr">
        <is>
          <t>3.3.3.15.2.4</t>
        </is>
      </c>
      <c r="M352" s="47" t="inlineStr">
        <is>
          <t>Монтаж лотка перфорированного/неперфорированного шириной от 301 мм до 400 мм (с учетом системы крепления и соединительных элементов)</t>
        </is>
      </c>
      <c r="N352" s="46" t="inlineStr">
        <is>
          <t>пог. м</t>
        </is>
      </c>
      <c r="O352" s="94">
        <f>P352+R352+T352+V352</f>
        <v/>
      </c>
      <c r="P352" s="23" t="n">
        <v>10</v>
      </c>
      <c r="Q352" s="23" t="n"/>
      <c r="R352" s="23" t="n"/>
      <c r="S352" s="23" t="n"/>
      <c r="T352" s="23" t="n"/>
      <c r="U352" s="23" t="n"/>
      <c r="V352" s="23" t="n"/>
      <c r="W352" s="46" t="n"/>
      <c r="X352" s="23" t="n"/>
      <c r="Y352" s="23" t="n"/>
      <c r="Z352" s="23" t="n"/>
      <c r="AA352" s="48" t="n"/>
      <c r="AB352" s="187" t="n"/>
      <c r="AC352" s="180" t="n"/>
      <c r="AD352" s="189">
        <f>SUM(AB352:AC352)</f>
        <v/>
      </c>
      <c r="AE352" s="189">
        <f>AB352*$O352</f>
        <v/>
      </c>
      <c r="AF352" s="189">
        <f>AC352*$O352</f>
        <v/>
      </c>
      <c r="AG352" s="189">
        <f>SUM(AE352:AF352)</f>
        <v/>
      </c>
      <c r="AH352" s="182" t="n"/>
    </row>
    <row r="353" outlineLevel="1" ht="45" customFormat="1" customHeight="1" s="22">
      <c r="A353" s="20" t="inlineStr">
        <is>
          <t>О</t>
        </is>
      </c>
      <c r="B353" s="21">
        <f>IF($K353=B$8,1+IF(OFFSET(B353,-1,0)="",0,OFFSET(B353,-1,0)),IF(B$8&lt;$K353,IF(OFFSET(B353,-1,0)="","ERR",OFFSET(B353,-1,0)),""))</f>
        <v/>
      </c>
      <c r="C353" s="21">
        <f>IF($K353=C$8,1+IF(OFFSET(C353,-1,0)="",0,OFFSET(C353,-1,0)),IF(C$8&lt;$K353,IF(OFFSET(C353,-1,0)="","ERR",OFFSET(C353,-1,0)),""))</f>
        <v/>
      </c>
      <c r="D353" s="21">
        <f>IF($K353=D$8,1+IF(OFFSET(D353,-1,0)="",0,OFFSET(D353,-1,0)),IF(D$8&lt;$K353,IF(OFFSET(D353,-1,0)="","ERR",OFFSET(D353,-1,0)),""))</f>
        <v/>
      </c>
      <c r="E353" s="21">
        <f>IF($K353=E$8,1+IF(OFFSET(E353,-1,0)="",0,OFFSET(E353,-1,0)),IF(E$8&lt;$K353,IF(OFFSET(E353,-1,0)="","ERR",OFFSET(E353,-1,0)),""))</f>
        <v/>
      </c>
      <c r="F353" s="21">
        <f>IF($K353=F$8,1+IF(OFFSET(F353,-1,0)="",0,OFFSET(F353,-1,0)),IF(F$8&lt;$K353,IF(OFFSET(F353,-1,0)="","ERR",OFFSET(F353,-1,0)),""))</f>
        <v/>
      </c>
      <c r="G353" s="21">
        <f>IF($K353=G$8,1+IF(OFFSET(G353,-1,0)="",0,OFFSET(G353,-1,0)),IF(G$8&lt;$K353,IF(OFFSET(G353,-1,0)="","ERR",OFFSET(G353,-1,0)),""))</f>
        <v/>
      </c>
      <c r="H353" s="21">
        <f>IF($K353=H$8,1+IF(OFFSET(H353,-1,0)="",0,OFFSET(H353,-1,0)),IF(H$8&lt;$K353,IF(OFFSET(H353,-1,0)="","ERR",OFFSET(H353,-1,0)),""))</f>
        <v/>
      </c>
      <c r="I353" s="21">
        <f>IF($K353=I$8,1+IF(OFFSET(I353,-1,0)="",0,OFFSET(I353,-1,0)),IF(I$8&lt;$K353,IF(OFFSET(I353,-1,0)="","ERR",OFFSET(I353,-1,0)),""))</f>
        <v/>
      </c>
      <c r="J353" s="56">
        <f>_xlfn.TEXTJOIN(".",1,B353:I353)</f>
        <v/>
      </c>
      <c r="K353" s="56" t="inlineStr">
        <is>
          <t>Л7</t>
        </is>
      </c>
      <c r="L353" s="57" t="n"/>
      <c r="M353" s="66" t="inlineStr">
        <is>
          <t>Лоток неперфорированный 100х400х3000-1,0мм, , L10040000, ООО «Электрорешения»</t>
        </is>
      </c>
      <c r="N353" s="56" t="inlineStr">
        <is>
          <t>пог. м</t>
        </is>
      </c>
      <c r="O353" s="62">
        <f>P353+R353+T353+V353</f>
        <v/>
      </c>
      <c r="P353" s="24" t="n">
        <v>10</v>
      </c>
      <c r="Q353" s="24" t="n"/>
      <c r="R353" s="24" t="n"/>
      <c r="S353" s="24" t="n"/>
      <c r="T353" s="24" t="n"/>
      <c r="U353" s="24" t="n"/>
      <c r="V353" s="24" t="n"/>
      <c r="W353" s="62" t="n">
        <v>1.03</v>
      </c>
      <c r="X353" s="26" t="n">
        <v>7721403552</v>
      </c>
      <c r="Y353" s="26" t="n">
        <v>771501001</v>
      </c>
      <c r="Z353" s="26" t="inlineStr">
        <is>
          <t>ООО "Электрорешения"</t>
        </is>
      </c>
      <c r="AA353" s="58" t="inlineStr">
        <is>
          <t>ГТ</t>
        </is>
      </c>
      <c r="AB353" s="191" t="n"/>
      <c r="AC353" s="189" t="n"/>
      <c r="AD353" s="190">
        <f>SUM(AB353:AC353)</f>
        <v/>
      </c>
      <c r="AE353" s="190">
        <f>AB353*$O353*$W353</f>
        <v/>
      </c>
      <c r="AF353" s="190">
        <f>AC353*$O353*$W353</f>
        <v/>
      </c>
      <c r="AG353" s="190">
        <f>SUM(AE353:AF353)</f>
        <v/>
      </c>
      <c r="AH353" s="197" t="n"/>
    </row>
    <row r="354" outlineLevel="1" customFormat="1" s="22">
      <c r="A354" s="20" t="inlineStr">
        <is>
          <t>О</t>
        </is>
      </c>
      <c r="B354" s="21">
        <f>IF($K354=B$8,1+IF(OFFSET(B354,-1,0)="",0,OFFSET(B354,-1,0)),IF(B$8&lt;$K354,IF(OFFSET(B354,-1,0)="","ERR",OFFSET(B354,-1,0)),""))</f>
        <v/>
      </c>
      <c r="C354" s="21">
        <f>IF($K354=C$8,1+IF(OFFSET(C354,-1,0)="",0,OFFSET(C354,-1,0)),IF(C$8&lt;$K354,IF(OFFSET(C354,-1,0)="","ERR",OFFSET(C354,-1,0)),""))</f>
        <v/>
      </c>
      <c r="D354" s="21">
        <f>IF($K354=D$8,1+IF(OFFSET(D354,-1,0)="",0,OFFSET(D354,-1,0)),IF(D$8&lt;$K354,IF(OFFSET(D354,-1,0)="","ERR",OFFSET(D354,-1,0)),""))</f>
        <v/>
      </c>
      <c r="E354" s="21">
        <f>IF($K354=E$8,1+IF(OFFSET(E354,-1,0)="",0,OFFSET(E354,-1,0)),IF(E$8&lt;$K354,IF(OFFSET(E354,-1,0)="","ERR",OFFSET(E354,-1,0)),""))</f>
        <v/>
      </c>
      <c r="F354" s="21">
        <f>IF($K354=F$8,1+IF(OFFSET(F354,-1,0)="",0,OFFSET(F354,-1,0)),IF(F$8&lt;$K354,IF(OFFSET(F354,-1,0)="","ERR",OFFSET(F354,-1,0)),""))</f>
        <v/>
      </c>
      <c r="G354" s="21">
        <f>IF($K354=G$8,1+IF(OFFSET(G354,-1,0)="",0,OFFSET(G354,-1,0)),IF(G$8&lt;$K354,IF(OFFSET(G354,-1,0)="","ERR",OFFSET(G354,-1,0)),""))</f>
        <v/>
      </c>
      <c r="H354" s="21">
        <f>IF($K354=H$8,1+IF(OFFSET(H354,-1,0)="",0,OFFSET(H354,-1,0)),IF(H$8&lt;$K354,IF(OFFSET(H354,-1,0)="","ERR",OFFSET(H354,-1,0)),""))</f>
        <v/>
      </c>
      <c r="I354" s="21">
        <f>IF($K354=I$8,1+IF(OFFSET(I354,-1,0)="",0,OFFSET(I354,-1,0)),IF(I$8&lt;$K354,IF(OFFSET(I354,-1,0)="","ERR",OFFSET(I354,-1,0)),""))</f>
        <v/>
      </c>
      <c r="J354" s="59">
        <f>_xlfn.TEXTJOIN(".",1,B354:I354)</f>
        <v/>
      </c>
      <c r="K354" s="59" t="inlineStr">
        <is>
          <t>Л7</t>
        </is>
      </c>
      <c r="L354" s="60" t="n"/>
      <c r="M354" s="64" t="inlineStr">
        <is>
          <t>Сопутствующие и прочие материалы*</t>
        </is>
      </c>
      <c r="N354" s="59" t="inlineStr">
        <is>
          <t>пог. м</t>
        </is>
      </c>
      <c r="O354" s="95">
        <f>P354+R354+T354+V354</f>
        <v/>
      </c>
      <c r="P354" s="25" t="n">
        <v>10</v>
      </c>
      <c r="Q354" s="25" t="n"/>
      <c r="R354" s="25" t="n"/>
      <c r="S354" s="25" t="n"/>
      <c r="T354" s="25" t="n"/>
      <c r="U354" s="25" t="n"/>
      <c r="V354" s="25" t="n"/>
      <c r="W354" s="59" t="n"/>
      <c r="X354" s="25" t="n"/>
      <c r="Y354" s="25" t="n"/>
      <c r="Z354" s="25" t="n"/>
      <c r="AA354" s="61" t="n"/>
      <c r="AB354" s="179" t="n"/>
      <c r="AC354" s="190" t="n"/>
      <c r="AD354" s="189">
        <f>SUM(AB354:AC354)</f>
        <v/>
      </c>
      <c r="AE354" s="189">
        <f>AB354*$O354</f>
        <v/>
      </c>
      <c r="AF354" s="189">
        <f>AC354*$O354</f>
        <v/>
      </c>
      <c r="AG354" s="189">
        <f>SUM(AE354:AF354)</f>
        <v/>
      </c>
      <c r="AH354" s="197" t="n"/>
    </row>
    <row r="355" outlineLevel="1" ht="25.5" customHeight="1">
      <c r="A355" s="18" t="inlineStr">
        <is>
          <t>О</t>
        </is>
      </c>
      <c r="B355" s="11">
        <f>IF($K355=B$8,1+IF(OFFSET(B355,-1,0)="",0,OFFSET(B355,-1,0)),IF(B$8&lt;$K355,IF(OFFSET(B355,-1,0)="","ERR",OFFSET(B355,-1,0)),""))</f>
        <v/>
      </c>
      <c r="C355" s="11">
        <f>IF($K355=C$8,1+IF(OFFSET(C355,-1,0)="",0,OFFSET(C355,-1,0)),IF(C$8&lt;$K355,IF(OFFSET(C355,-1,0)="","ERR",OFFSET(C355,-1,0)),""))</f>
        <v/>
      </c>
      <c r="D355" s="11">
        <f>IF($K355=D$8,1+IF(OFFSET(D355,-1,0)="",0,OFFSET(D355,-1,0)),IF(D$8&lt;$K355,IF(OFFSET(D355,-1,0)="","ERR",OFFSET(D355,-1,0)),""))</f>
        <v/>
      </c>
      <c r="E355" s="11">
        <f>IF($K355=E$8,1+IF(OFFSET(E355,-1,0)="",0,OFFSET(E355,-1,0)),IF(E$8&lt;$K355,IF(OFFSET(E355,-1,0)="","ERR",OFFSET(E355,-1,0)),""))</f>
        <v/>
      </c>
      <c r="F355" s="11">
        <f>IF($K355=F$8,1+IF(OFFSET(F355,-1,0)="",0,OFFSET(F355,-1,0)),IF(F$8&lt;$K355,IF(OFFSET(F355,-1,0)="","ERR",OFFSET(F355,-1,0)),""))</f>
        <v/>
      </c>
      <c r="G355" s="11">
        <f>IF($K355=G$8,1+IF(OFFSET(G355,-1,0)="",0,OFFSET(G355,-1,0)),IF(G$8&lt;$K355,IF(OFFSET(G355,-1,0)="","ERR",OFFSET(G355,-1,0)),""))</f>
        <v/>
      </c>
      <c r="H355" s="11">
        <f>IF($K355=H$8,1+IF(OFFSET(H355,-1,0)="",0,OFFSET(H355,-1,0)),IF(H$8&lt;$K355,IF(OFFSET(H355,-1,0)="","ERR",OFFSET(H355,-1,0)),""))</f>
        <v/>
      </c>
      <c r="I355" s="11">
        <f>IF($K355=I$8,1+IF(OFFSET(I355,-1,0)="",0,OFFSET(I355,-1,0)),IF(I$8&lt;$K355,IF(OFFSET(I355,-1,0)="","ERR",OFFSET(I355,-1,0)),""))</f>
        <v/>
      </c>
      <c r="J355" s="46">
        <f>_xlfn.TEXTJOIN(".",1,B355:I355)</f>
        <v/>
      </c>
      <c r="K355" s="46" t="inlineStr">
        <is>
          <t>Л6</t>
        </is>
      </c>
      <c r="L355" s="46" t="inlineStr">
        <is>
          <t>3.3.3.15.2.7</t>
        </is>
      </c>
      <c r="M355" s="47" t="inlineStr">
        <is>
          <t>Монтаж фасонных секций перфорированного/неперфорированного лотка: ответвителя, перехода, угла поворота трассы</t>
        </is>
      </c>
      <c r="N355" s="46" t="inlineStr">
        <is>
          <t>шт</t>
        </is>
      </c>
      <c r="O355" s="94">
        <f>P355+R355+T355+V355</f>
        <v/>
      </c>
      <c r="P355" s="23" t="n">
        <v>919</v>
      </c>
      <c r="Q355" s="23" t="n"/>
      <c r="R355" s="23" t="n"/>
      <c r="S355" s="23" t="n"/>
      <c r="T355" s="23" t="n"/>
      <c r="U355" s="23" t="n"/>
      <c r="V355" s="23" t="n"/>
      <c r="W355" s="46" t="n"/>
      <c r="X355" s="23" t="n"/>
      <c r="Y355" s="23" t="n"/>
      <c r="Z355" s="23" t="n"/>
      <c r="AA355" s="48" t="n"/>
      <c r="AB355" s="187" t="n"/>
      <c r="AC355" s="180" t="n"/>
      <c r="AD355" s="189">
        <f>SUM(AB355:AC355)</f>
        <v/>
      </c>
      <c r="AE355" s="189">
        <f>AB355*$O355</f>
        <v/>
      </c>
      <c r="AF355" s="189">
        <f>AC355*$O355</f>
        <v/>
      </c>
      <c r="AG355" s="189">
        <f>SUM(AE355:AF355)</f>
        <v/>
      </c>
      <c r="AH355" s="182" t="n"/>
    </row>
    <row r="356" outlineLevel="1" ht="45" customFormat="1" customHeight="1" s="22">
      <c r="A356" s="20" t="inlineStr">
        <is>
          <t>О</t>
        </is>
      </c>
      <c r="B356" s="21">
        <f>IF($K356=B$8,1+IF(OFFSET(B356,-1,0)="",0,OFFSET(B356,-1,0)),IF(B$8&lt;$K356,IF(OFFSET(B356,-1,0)="","ERR",OFFSET(B356,-1,0)),""))</f>
        <v/>
      </c>
      <c r="C356" s="21">
        <f>IF($K356=C$8,1+IF(OFFSET(C356,-1,0)="",0,OFFSET(C356,-1,0)),IF(C$8&lt;$K356,IF(OFFSET(C356,-1,0)="","ERR",OFFSET(C356,-1,0)),""))</f>
        <v/>
      </c>
      <c r="D356" s="21">
        <f>IF($K356=D$8,1+IF(OFFSET(D356,-1,0)="",0,OFFSET(D356,-1,0)),IF(D$8&lt;$K356,IF(OFFSET(D356,-1,0)="","ERR",OFFSET(D356,-1,0)),""))</f>
        <v/>
      </c>
      <c r="E356" s="21">
        <f>IF($K356=E$8,1+IF(OFFSET(E356,-1,0)="",0,OFFSET(E356,-1,0)),IF(E$8&lt;$K356,IF(OFFSET(E356,-1,0)="","ERR",OFFSET(E356,-1,0)),""))</f>
        <v/>
      </c>
      <c r="F356" s="21">
        <f>IF($K356=F$8,1+IF(OFFSET(F356,-1,0)="",0,OFFSET(F356,-1,0)),IF(F$8&lt;$K356,IF(OFFSET(F356,-1,0)="","ERR",OFFSET(F356,-1,0)),""))</f>
        <v/>
      </c>
      <c r="G356" s="21">
        <f>IF($K356=G$8,1+IF(OFFSET(G356,-1,0)="",0,OFFSET(G356,-1,0)),IF(G$8&lt;$K356,IF(OFFSET(G356,-1,0)="","ERR",OFFSET(G356,-1,0)),""))</f>
        <v/>
      </c>
      <c r="H356" s="21">
        <f>IF($K356=H$8,1+IF(OFFSET(H356,-1,0)="",0,OFFSET(H356,-1,0)),IF(H$8&lt;$K356,IF(OFFSET(H356,-1,0)="","ERR",OFFSET(H356,-1,0)),""))</f>
        <v/>
      </c>
      <c r="I356" s="21">
        <f>IF($K356=I$8,1+IF(OFFSET(I356,-1,0)="",0,OFFSET(I356,-1,0)),IF(I$8&lt;$K356,IF(OFFSET(I356,-1,0)="","ERR",OFFSET(I356,-1,0)),""))</f>
        <v/>
      </c>
      <c r="J356" s="56">
        <f>_xlfn.TEXTJOIN(".",1,B356:I356)</f>
        <v/>
      </c>
      <c r="K356" s="56" t="inlineStr">
        <is>
          <t>Л7</t>
        </is>
      </c>
      <c r="L356" s="57" t="n"/>
      <c r="M356" s="66" t="inlineStr">
        <is>
          <t>Ответвитель Т-образный 50х100-1,0мм, t5010008-1, ООО «Электрорешения»</t>
        </is>
      </c>
      <c r="N356" s="56" t="inlineStr">
        <is>
          <t>шт</t>
        </is>
      </c>
      <c r="O356" s="62">
        <f>P356+R356+T356+V356</f>
        <v/>
      </c>
      <c r="P356" s="24" t="n">
        <v>62</v>
      </c>
      <c r="Q356" s="24" t="n"/>
      <c r="R356" s="24" t="n"/>
      <c r="S356" s="24" t="n"/>
      <c r="T356" s="24" t="n"/>
      <c r="U356" s="24" t="n"/>
      <c r="V356" s="24" t="n"/>
      <c r="W356" s="62" t="n">
        <v>1</v>
      </c>
      <c r="X356" s="26" t="n">
        <v>7721403552</v>
      </c>
      <c r="Y356" s="26" t="n">
        <v>771501001</v>
      </c>
      <c r="Z356" s="26" t="inlineStr">
        <is>
          <t>ООО "Электрорешения"</t>
        </is>
      </c>
      <c r="AA356" s="58" t="inlineStr">
        <is>
          <t>ГТ</t>
        </is>
      </c>
      <c r="AB356" s="191" t="n"/>
      <c r="AC356" s="189" t="n"/>
      <c r="AD356" s="190">
        <f>SUM(AB356:AC356)</f>
        <v/>
      </c>
      <c r="AE356" s="190">
        <f>AB356*$O356*$W356</f>
        <v/>
      </c>
      <c r="AF356" s="190">
        <f>AC356*$O356*$W356</f>
        <v/>
      </c>
      <c r="AG356" s="190">
        <f>SUM(AE356:AF356)</f>
        <v/>
      </c>
      <c r="AH356" s="197" t="n"/>
    </row>
    <row r="357" outlineLevel="1" ht="45" customFormat="1" customHeight="1" s="22">
      <c r="A357" s="20" t="inlineStr">
        <is>
          <t>О</t>
        </is>
      </c>
      <c r="B357" s="21">
        <f>IF($K357=B$8,1+IF(OFFSET(B357,-1,0)="",0,OFFSET(B357,-1,0)),IF(B$8&lt;$K357,IF(OFFSET(B357,-1,0)="","ERR",OFFSET(B357,-1,0)),""))</f>
        <v/>
      </c>
      <c r="C357" s="21">
        <f>IF($K357=C$8,1+IF(OFFSET(C357,-1,0)="",0,OFFSET(C357,-1,0)),IF(C$8&lt;$K357,IF(OFFSET(C357,-1,0)="","ERR",OFFSET(C357,-1,0)),""))</f>
        <v/>
      </c>
      <c r="D357" s="21">
        <f>IF($K357=D$8,1+IF(OFFSET(D357,-1,0)="",0,OFFSET(D357,-1,0)),IF(D$8&lt;$K357,IF(OFFSET(D357,-1,0)="","ERR",OFFSET(D357,-1,0)),""))</f>
        <v/>
      </c>
      <c r="E357" s="21">
        <f>IF($K357=E$8,1+IF(OFFSET(E357,-1,0)="",0,OFFSET(E357,-1,0)),IF(E$8&lt;$K357,IF(OFFSET(E357,-1,0)="","ERR",OFFSET(E357,-1,0)),""))</f>
        <v/>
      </c>
      <c r="F357" s="21">
        <f>IF($K357=F$8,1+IF(OFFSET(F357,-1,0)="",0,OFFSET(F357,-1,0)),IF(F$8&lt;$K357,IF(OFFSET(F357,-1,0)="","ERR",OFFSET(F357,-1,0)),""))</f>
        <v/>
      </c>
      <c r="G357" s="21">
        <f>IF($K357=G$8,1+IF(OFFSET(G357,-1,0)="",0,OFFSET(G357,-1,0)),IF(G$8&lt;$K357,IF(OFFSET(G357,-1,0)="","ERR",OFFSET(G357,-1,0)),""))</f>
        <v/>
      </c>
      <c r="H357" s="21">
        <f>IF($K357=H$8,1+IF(OFFSET(H357,-1,0)="",0,OFFSET(H357,-1,0)),IF(H$8&lt;$K357,IF(OFFSET(H357,-1,0)="","ERR",OFFSET(H357,-1,0)),""))</f>
        <v/>
      </c>
      <c r="I357" s="21">
        <f>IF($K357=I$8,1+IF(OFFSET(I357,-1,0)="",0,OFFSET(I357,-1,0)),IF(I$8&lt;$K357,IF(OFFSET(I357,-1,0)="","ERR",OFFSET(I357,-1,0)),""))</f>
        <v/>
      </c>
      <c r="J357" s="56">
        <f>_xlfn.TEXTJOIN(".",1,B357:I357)</f>
        <v/>
      </c>
      <c r="K357" s="56" t="inlineStr">
        <is>
          <t>Л7</t>
        </is>
      </c>
      <c r="L357" s="57" t="n"/>
      <c r="M357" s="66" t="inlineStr">
        <is>
          <t>Ответвитель Т-образный 50х150-1,0мм, t5015008-1, ООО «Электрорешения»</t>
        </is>
      </c>
      <c r="N357" s="56" t="inlineStr">
        <is>
          <t>шт</t>
        </is>
      </c>
      <c r="O357" s="62">
        <f>P357+R357+T357+V357</f>
        <v/>
      </c>
      <c r="P357" s="24" t="n">
        <v>2</v>
      </c>
      <c r="Q357" s="24" t="n"/>
      <c r="R357" s="24" t="n"/>
      <c r="S357" s="24" t="n"/>
      <c r="T357" s="24" t="n"/>
      <c r="U357" s="24" t="n"/>
      <c r="V357" s="24" t="n"/>
      <c r="W357" s="62" t="n">
        <v>1</v>
      </c>
      <c r="X357" s="26" t="n">
        <v>7721403552</v>
      </c>
      <c r="Y357" s="26" t="n">
        <v>771501001</v>
      </c>
      <c r="Z357" s="26" t="inlineStr">
        <is>
          <t>ООО "Электрорешения"</t>
        </is>
      </c>
      <c r="AA357" s="58" t="inlineStr">
        <is>
          <t>ГТ</t>
        </is>
      </c>
      <c r="AB357" s="191" t="n"/>
      <c r="AC357" s="189" t="n"/>
      <c r="AD357" s="190">
        <f>SUM(AB357:AC357)</f>
        <v/>
      </c>
      <c r="AE357" s="190">
        <f>AB357*$O357*$W357</f>
        <v/>
      </c>
      <c r="AF357" s="190">
        <f>AC357*$O357*$W357</f>
        <v/>
      </c>
      <c r="AG357" s="190">
        <f>SUM(AE357:AF357)</f>
        <v/>
      </c>
      <c r="AH357" s="197" t="n"/>
    </row>
    <row r="358" outlineLevel="1" ht="45" customFormat="1" customHeight="1" s="22">
      <c r="A358" s="20" t="inlineStr">
        <is>
          <t>О</t>
        </is>
      </c>
      <c r="B358" s="21">
        <f>IF($K358=B$8,1+IF(OFFSET(B358,-1,0)="",0,OFFSET(B358,-1,0)),IF(B$8&lt;$K358,IF(OFFSET(B358,-1,0)="","ERR",OFFSET(B358,-1,0)),""))</f>
        <v/>
      </c>
      <c r="C358" s="21">
        <f>IF($K358=C$8,1+IF(OFFSET(C358,-1,0)="",0,OFFSET(C358,-1,0)),IF(C$8&lt;$K358,IF(OFFSET(C358,-1,0)="","ERR",OFFSET(C358,-1,0)),""))</f>
        <v/>
      </c>
      <c r="D358" s="21">
        <f>IF($K358=D$8,1+IF(OFFSET(D358,-1,0)="",0,OFFSET(D358,-1,0)),IF(D$8&lt;$K358,IF(OFFSET(D358,-1,0)="","ERR",OFFSET(D358,-1,0)),""))</f>
        <v/>
      </c>
      <c r="E358" s="21">
        <f>IF($K358=E$8,1+IF(OFFSET(E358,-1,0)="",0,OFFSET(E358,-1,0)),IF(E$8&lt;$K358,IF(OFFSET(E358,-1,0)="","ERR",OFFSET(E358,-1,0)),""))</f>
        <v/>
      </c>
      <c r="F358" s="21">
        <f>IF($K358=F$8,1+IF(OFFSET(F358,-1,0)="",0,OFFSET(F358,-1,0)),IF(F$8&lt;$K358,IF(OFFSET(F358,-1,0)="","ERR",OFFSET(F358,-1,0)),""))</f>
        <v/>
      </c>
      <c r="G358" s="21">
        <f>IF($K358=G$8,1+IF(OFFSET(G358,-1,0)="",0,OFFSET(G358,-1,0)),IF(G$8&lt;$K358,IF(OFFSET(G358,-1,0)="","ERR",OFFSET(G358,-1,0)),""))</f>
        <v/>
      </c>
      <c r="H358" s="21">
        <f>IF($K358=H$8,1+IF(OFFSET(H358,-1,0)="",0,OFFSET(H358,-1,0)),IF(H$8&lt;$K358,IF(OFFSET(H358,-1,0)="","ERR",OFFSET(H358,-1,0)),""))</f>
        <v/>
      </c>
      <c r="I358" s="21">
        <f>IF($K358=I$8,1+IF(OFFSET(I358,-1,0)="",0,OFFSET(I358,-1,0)),IF(I$8&lt;$K358,IF(OFFSET(I358,-1,0)="","ERR",OFFSET(I358,-1,0)),""))</f>
        <v/>
      </c>
      <c r="J358" s="56">
        <f>_xlfn.TEXTJOIN(".",1,B358:I358)</f>
        <v/>
      </c>
      <c r="K358" s="56" t="inlineStr">
        <is>
          <t>Л7</t>
        </is>
      </c>
      <c r="L358" s="57" t="n"/>
      <c r="M358" s="66" t="inlineStr">
        <is>
          <t>Ответвитель Т-образный 50х200-1,0мм, t5020008-1, ООО «Электрорешения»</t>
        </is>
      </c>
      <c r="N358" s="56" t="inlineStr">
        <is>
          <t>шт</t>
        </is>
      </c>
      <c r="O358" s="62">
        <f>P358+R358+T358+V358</f>
        <v/>
      </c>
      <c r="P358" s="24" t="n">
        <v>12</v>
      </c>
      <c r="Q358" s="24" t="n"/>
      <c r="R358" s="24" t="n"/>
      <c r="S358" s="24" t="n"/>
      <c r="T358" s="24" t="n"/>
      <c r="U358" s="24" t="n"/>
      <c r="V358" s="24" t="n"/>
      <c r="W358" s="62" t="n">
        <v>1</v>
      </c>
      <c r="X358" s="26" t="n">
        <v>7721403552</v>
      </c>
      <c r="Y358" s="26" t="n">
        <v>771501001</v>
      </c>
      <c r="Z358" s="26" t="inlineStr">
        <is>
          <t>ООО "Электрорешения"</t>
        </is>
      </c>
      <c r="AA358" s="58" t="inlineStr">
        <is>
          <t>ГТ</t>
        </is>
      </c>
      <c r="AB358" s="191" t="n"/>
      <c r="AC358" s="189" t="n"/>
      <c r="AD358" s="190">
        <f>SUM(AB358:AC358)</f>
        <v/>
      </c>
      <c r="AE358" s="190">
        <f>AB358*$O358*$W358</f>
        <v/>
      </c>
      <c r="AF358" s="190">
        <f>AC358*$O358*$W358</f>
        <v/>
      </c>
      <c r="AG358" s="190">
        <f>SUM(AE358:AF358)</f>
        <v/>
      </c>
      <c r="AH358" s="197" t="n"/>
    </row>
    <row r="359" outlineLevel="1" ht="45" customFormat="1" customHeight="1" s="22">
      <c r="A359" s="20" t="inlineStr">
        <is>
          <t>О</t>
        </is>
      </c>
      <c r="B359" s="21">
        <f>IF($K359=B$8,1+IF(OFFSET(B359,-1,0)="",0,OFFSET(B359,-1,0)),IF(B$8&lt;$K359,IF(OFFSET(B359,-1,0)="","ERR",OFFSET(B359,-1,0)),""))</f>
        <v/>
      </c>
      <c r="C359" s="21">
        <f>IF($K359=C$8,1+IF(OFFSET(C359,-1,0)="",0,OFFSET(C359,-1,0)),IF(C$8&lt;$K359,IF(OFFSET(C359,-1,0)="","ERR",OFFSET(C359,-1,0)),""))</f>
        <v/>
      </c>
      <c r="D359" s="21">
        <f>IF($K359=D$8,1+IF(OFFSET(D359,-1,0)="",0,OFFSET(D359,-1,0)),IF(D$8&lt;$K359,IF(OFFSET(D359,-1,0)="","ERR",OFFSET(D359,-1,0)),""))</f>
        <v/>
      </c>
      <c r="E359" s="21">
        <f>IF($K359=E$8,1+IF(OFFSET(E359,-1,0)="",0,OFFSET(E359,-1,0)),IF(E$8&lt;$K359,IF(OFFSET(E359,-1,0)="","ERR",OFFSET(E359,-1,0)),""))</f>
        <v/>
      </c>
      <c r="F359" s="21">
        <f>IF($K359=F$8,1+IF(OFFSET(F359,-1,0)="",0,OFFSET(F359,-1,0)),IF(F$8&lt;$K359,IF(OFFSET(F359,-1,0)="","ERR",OFFSET(F359,-1,0)),""))</f>
        <v/>
      </c>
      <c r="G359" s="21">
        <f>IF($K359=G$8,1+IF(OFFSET(G359,-1,0)="",0,OFFSET(G359,-1,0)),IF(G$8&lt;$K359,IF(OFFSET(G359,-1,0)="","ERR",OFFSET(G359,-1,0)),""))</f>
        <v/>
      </c>
      <c r="H359" s="21">
        <f>IF($K359=H$8,1+IF(OFFSET(H359,-1,0)="",0,OFFSET(H359,-1,0)),IF(H$8&lt;$K359,IF(OFFSET(H359,-1,0)="","ERR",OFFSET(H359,-1,0)),""))</f>
        <v/>
      </c>
      <c r="I359" s="21">
        <f>IF($K359=I$8,1+IF(OFFSET(I359,-1,0)="",0,OFFSET(I359,-1,0)),IF(I$8&lt;$K359,IF(OFFSET(I359,-1,0)="","ERR",OFFSET(I359,-1,0)),""))</f>
        <v/>
      </c>
      <c r="J359" s="56">
        <f>_xlfn.TEXTJOIN(".",1,B359:I359)</f>
        <v/>
      </c>
      <c r="K359" s="56" t="inlineStr">
        <is>
          <t>Л7</t>
        </is>
      </c>
      <c r="L359" s="57" t="n"/>
      <c r="M359" s="66" t="inlineStr">
        <is>
          <t>Угол 90 град. горизонтальный 50х50 мм EKF, g905050-1, ООО «Электрорешения»</t>
        </is>
      </c>
      <c r="N359" s="56" t="inlineStr">
        <is>
          <t>шт</t>
        </is>
      </c>
      <c r="O359" s="62">
        <f>P359+R359+T359+V359</f>
        <v/>
      </c>
      <c r="P359" s="24" t="n">
        <v>59</v>
      </c>
      <c r="Q359" s="24" t="n"/>
      <c r="R359" s="24" t="n"/>
      <c r="S359" s="24" t="n"/>
      <c r="T359" s="24" t="n"/>
      <c r="U359" s="24" t="n"/>
      <c r="V359" s="24" t="n"/>
      <c r="W359" s="62" t="n">
        <v>1</v>
      </c>
      <c r="X359" s="26" t="n">
        <v>7721403552</v>
      </c>
      <c r="Y359" s="26" t="n">
        <v>771501001</v>
      </c>
      <c r="Z359" s="26" t="inlineStr">
        <is>
          <t>ООО "Электрорешения"</t>
        </is>
      </c>
      <c r="AA359" s="58" t="inlineStr">
        <is>
          <t>ГТ</t>
        </is>
      </c>
      <c r="AB359" s="191" t="n"/>
      <c r="AC359" s="189" t="n"/>
      <c r="AD359" s="190">
        <f>SUM(AB359:AC359)</f>
        <v/>
      </c>
      <c r="AE359" s="190">
        <f>AB359*$O359*$W359</f>
        <v/>
      </c>
      <c r="AF359" s="190">
        <f>AC359*$O359*$W359</f>
        <v/>
      </c>
      <c r="AG359" s="190">
        <f>SUM(AE359:AF359)</f>
        <v/>
      </c>
      <c r="AH359" s="197" t="n"/>
    </row>
    <row r="360" outlineLevel="1" ht="45" customFormat="1" customHeight="1" s="22">
      <c r="A360" s="20" t="inlineStr">
        <is>
          <t>О</t>
        </is>
      </c>
      <c r="B360" s="21">
        <f>IF($K360=B$8,1+IF(OFFSET(B360,-1,0)="",0,OFFSET(B360,-1,0)),IF(B$8&lt;$K360,IF(OFFSET(B360,-1,0)="","ERR",OFFSET(B360,-1,0)),""))</f>
        <v/>
      </c>
      <c r="C360" s="21">
        <f>IF($K360=C$8,1+IF(OFFSET(C360,-1,0)="",0,OFFSET(C360,-1,0)),IF(C$8&lt;$K360,IF(OFFSET(C360,-1,0)="","ERR",OFFSET(C360,-1,0)),""))</f>
        <v/>
      </c>
      <c r="D360" s="21">
        <f>IF($K360=D$8,1+IF(OFFSET(D360,-1,0)="",0,OFFSET(D360,-1,0)),IF(D$8&lt;$K360,IF(OFFSET(D360,-1,0)="","ERR",OFFSET(D360,-1,0)),""))</f>
        <v/>
      </c>
      <c r="E360" s="21">
        <f>IF($K360=E$8,1+IF(OFFSET(E360,-1,0)="",0,OFFSET(E360,-1,0)),IF(E$8&lt;$K360,IF(OFFSET(E360,-1,0)="","ERR",OFFSET(E360,-1,0)),""))</f>
        <v/>
      </c>
      <c r="F360" s="21">
        <f>IF($K360=F$8,1+IF(OFFSET(F360,-1,0)="",0,OFFSET(F360,-1,0)),IF(F$8&lt;$K360,IF(OFFSET(F360,-1,0)="","ERR",OFFSET(F360,-1,0)),""))</f>
        <v/>
      </c>
      <c r="G360" s="21">
        <f>IF($K360=G$8,1+IF(OFFSET(G360,-1,0)="",0,OFFSET(G360,-1,0)),IF(G$8&lt;$K360,IF(OFFSET(G360,-1,0)="","ERR",OFFSET(G360,-1,0)),""))</f>
        <v/>
      </c>
      <c r="H360" s="21">
        <f>IF($K360=H$8,1+IF(OFFSET(H360,-1,0)="",0,OFFSET(H360,-1,0)),IF(H$8&lt;$K360,IF(OFFSET(H360,-1,0)="","ERR",OFFSET(H360,-1,0)),""))</f>
        <v/>
      </c>
      <c r="I360" s="21">
        <f>IF($K360=I$8,1+IF(OFFSET(I360,-1,0)="",0,OFFSET(I360,-1,0)),IF(I$8&lt;$K360,IF(OFFSET(I360,-1,0)="","ERR",OFFSET(I360,-1,0)),""))</f>
        <v/>
      </c>
      <c r="J360" s="56">
        <f>_xlfn.TEXTJOIN(".",1,B360:I360)</f>
        <v/>
      </c>
      <c r="K360" s="56" t="inlineStr">
        <is>
          <t>Л7</t>
        </is>
      </c>
      <c r="L360" s="57" t="n"/>
      <c r="M360" s="66" t="inlineStr">
        <is>
          <t>Угол 90 град. горизонтальный 50х100 мм EKF, g9050100-1, ООО «Электрорешения»</t>
        </is>
      </c>
      <c r="N360" s="56" t="inlineStr">
        <is>
          <t>шт</t>
        </is>
      </c>
      <c r="O360" s="62">
        <f>P360+R360+T360+V360</f>
        <v/>
      </c>
      <c r="P360" s="24" t="n">
        <v>2</v>
      </c>
      <c r="Q360" s="24" t="n"/>
      <c r="R360" s="24" t="n"/>
      <c r="S360" s="24" t="n"/>
      <c r="T360" s="24" t="n"/>
      <c r="U360" s="24" t="n"/>
      <c r="V360" s="24" t="n"/>
      <c r="W360" s="62" t="n">
        <v>1</v>
      </c>
      <c r="X360" s="26" t="n">
        <v>7721403552</v>
      </c>
      <c r="Y360" s="26" t="n">
        <v>771501001</v>
      </c>
      <c r="Z360" s="26" t="inlineStr">
        <is>
          <t>ООО "Электрорешения"</t>
        </is>
      </c>
      <c r="AA360" s="58" t="inlineStr">
        <is>
          <t>ГТ</t>
        </is>
      </c>
      <c r="AB360" s="191" t="n"/>
      <c r="AC360" s="189" t="n"/>
      <c r="AD360" s="190">
        <f>SUM(AB360:AC360)</f>
        <v/>
      </c>
      <c r="AE360" s="190">
        <f>AB360*$O360*$W360</f>
        <v/>
      </c>
      <c r="AF360" s="190">
        <f>AC360*$O360*$W360</f>
        <v/>
      </c>
      <c r="AG360" s="190">
        <f>SUM(AE360:AF360)</f>
        <v/>
      </c>
      <c r="AH360" s="197" t="n"/>
    </row>
    <row r="361" outlineLevel="1" ht="45" customFormat="1" customHeight="1" s="22">
      <c r="A361" s="20" t="inlineStr">
        <is>
          <t>О</t>
        </is>
      </c>
      <c r="B361" s="21">
        <f>IF($K361=B$8,1+IF(OFFSET(B361,-1,0)="",0,OFFSET(B361,-1,0)),IF(B$8&lt;$K361,IF(OFFSET(B361,-1,0)="","ERR",OFFSET(B361,-1,0)),""))</f>
        <v/>
      </c>
      <c r="C361" s="21">
        <f>IF($K361=C$8,1+IF(OFFSET(C361,-1,0)="",0,OFFSET(C361,-1,0)),IF(C$8&lt;$K361,IF(OFFSET(C361,-1,0)="","ERR",OFFSET(C361,-1,0)),""))</f>
        <v/>
      </c>
      <c r="D361" s="21">
        <f>IF($K361=D$8,1+IF(OFFSET(D361,-1,0)="",0,OFFSET(D361,-1,0)),IF(D$8&lt;$K361,IF(OFFSET(D361,-1,0)="","ERR",OFFSET(D361,-1,0)),""))</f>
        <v/>
      </c>
      <c r="E361" s="21">
        <f>IF($K361=E$8,1+IF(OFFSET(E361,-1,0)="",0,OFFSET(E361,-1,0)),IF(E$8&lt;$K361,IF(OFFSET(E361,-1,0)="","ERR",OFFSET(E361,-1,0)),""))</f>
        <v/>
      </c>
      <c r="F361" s="21">
        <f>IF($K361=F$8,1+IF(OFFSET(F361,-1,0)="",0,OFFSET(F361,-1,0)),IF(F$8&lt;$K361,IF(OFFSET(F361,-1,0)="","ERR",OFFSET(F361,-1,0)),""))</f>
        <v/>
      </c>
      <c r="G361" s="21">
        <f>IF($K361=G$8,1+IF(OFFSET(G361,-1,0)="",0,OFFSET(G361,-1,0)),IF(G$8&lt;$K361,IF(OFFSET(G361,-1,0)="","ERR",OFFSET(G361,-1,0)),""))</f>
        <v/>
      </c>
      <c r="H361" s="21">
        <f>IF($K361=H$8,1+IF(OFFSET(H361,-1,0)="",0,OFFSET(H361,-1,0)),IF(H$8&lt;$K361,IF(OFFSET(H361,-1,0)="","ERR",OFFSET(H361,-1,0)),""))</f>
        <v/>
      </c>
      <c r="I361" s="21">
        <f>IF($K361=I$8,1+IF(OFFSET(I361,-1,0)="",0,OFFSET(I361,-1,0)),IF(I$8&lt;$K361,IF(OFFSET(I361,-1,0)="","ERR",OFFSET(I361,-1,0)),""))</f>
        <v/>
      </c>
      <c r="J361" s="56">
        <f>_xlfn.TEXTJOIN(".",1,B361:I361)</f>
        <v/>
      </c>
      <c r="K361" s="56" t="inlineStr">
        <is>
          <t>Л7</t>
        </is>
      </c>
      <c r="L361" s="57" t="n"/>
      <c r="M361" s="66" t="inlineStr">
        <is>
          <t>Угол 90 град. горизонтальный 50х150 мм EKF, g9050150-1, ООО «Электрорешения»</t>
        </is>
      </c>
      <c r="N361" s="56" t="inlineStr">
        <is>
          <t>шт</t>
        </is>
      </c>
      <c r="O361" s="62">
        <f>P361+R361+T361+V361</f>
        <v/>
      </c>
      <c r="P361" s="24" t="n">
        <v>6</v>
      </c>
      <c r="Q361" s="24" t="n"/>
      <c r="R361" s="24" t="n"/>
      <c r="S361" s="24" t="n"/>
      <c r="T361" s="24" t="n"/>
      <c r="U361" s="24" t="n"/>
      <c r="V361" s="24" t="n"/>
      <c r="W361" s="62" t="n">
        <v>1</v>
      </c>
      <c r="X361" s="26" t="n">
        <v>7721403552</v>
      </c>
      <c r="Y361" s="26" t="n">
        <v>771501001</v>
      </c>
      <c r="Z361" s="26" t="inlineStr">
        <is>
          <t>ООО "Электрорешения"</t>
        </is>
      </c>
      <c r="AA361" s="58" t="inlineStr">
        <is>
          <t>ГТ</t>
        </is>
      </c>
      <c r="AB361" s="191" t="n"/>
      <c r="AC361" s="189" t="n"/>
      <c r="AD361" s="190">
        <f>SUM(AB361:AC361)</f>
        <v/>
      </c>
      <c r="AE361" s="190">
        <f>AB361*$O361*$W361</f>
        <v/>
      </c>
      <c r="AF361" s="190">
        <f>AC361*$O361*$W361</f>
        <v/>
      </c>
      <c r="AG361" s="190">
        <f>SUM(AE361:AF361)</f>
        <v/>
      </c>
      <c r="AH361" s="197" t="n"/>
    </row>
    <row r="362" outlineLevel="1" ht="45" customFormat="1" customHeight="1" s="22">
      <c r="A362" s="20" t="inlineStr">
        <is>
          <t>О</t>
        </is>
      </c>
      <c r="B362" s="21">
        <f>IF($K362=B$8,1+IF(OFFSET(B362,-1,0)="",0,OFFSET(B362,-1,0)),IF(B$8&lt;$K362,IF(OFFSET(B362,-1,0)="","ERR",OFFSET(B362,-1,0)),""))</f>
        <v/>
      </c>
      <c r="C362" s="21">
        <f>IF($K362=C$8,1+IF(OFFSET(C362,-1,0)="",0,OFFSET(C362,-1,0)),IF(C$8&lt;$K362,IF(OFFSET(C362,-1,0)="","ERR",OFFSET(C362,-1,0)),""))</f>
        <v/>
      </c>
      <c r="D362" s="21">
        <f>IF($K362=D$8,1+IF(OFFSET(D362,-1,0)="",0,OFFSET(D362,-1,0)),IF(D$8&lt;$K362,IF(OFFSET(D362,-1,0)="","ERR",OFFSET(D362,-1,0)),""))</f>
        <v/>
      </c>
      <c r="E362" s="21">
        <f>IF($K362=E$8,1+IF(OFFSET(E362,-1,0)="",0,OFFSET(E362,-1,0)),IF(E$8&lt;$K362,IF(OFFSET(E362,-1,0)="","ERR",OFFSET(E362,-1,0)),""))</f>
        <v/>
      </c>
      <c r="F362" s="21">
        <f>IF($K362=F$8,1+IF(OFFSET(F362,-1,0)="",0,OFFSET(F362,-1,0)),IF(F$8&lt;$K362,IF(OFFSET(F362,-1,0)="","ERR",OFFSET(F362,-1,0)),""))</f>
        <v/>
      </c>
      <c r="G362" s="21">
        <f>IF($K362=G$8,1+IF(OFFSET(G362,-1,0)="",0,OFFSET(G362,-1,0)),IF(G$8&lt;$K362,IF(OFFSET(G362,-1,0)="","ERR",OFFSET(G362,-1,0)),""))</f>
        <v/>
      </c>
      <c r="H362" s="21">
        <f>IF($K362=H$8,1+IF(OFFSET(H362,-1,0)="",0,OFFSET(H362,-1,0)),IF(H$8&lt;$K362,IF(OFFSET(H362,-1,0)="","ERR",OFFSET(H362,-1,0)),""))</f>
        <v/>
      </c>
      <c r="I362" s="21">
        <f>IF($K362=I$8,1+IF(OFFSET(I362,-1,0)="",0,OFFSET(I362,-1,0)),IF(I$8&lt;$K362,IF(OFFSET(I362,-1,0)="","ERR",OFFSET(I362,-1,0)),""))</f>
        <v/>
      </c>
      <c r="J362" s="56">
        <f>_xlfn.TEXTJOIN(".",1,B362:I362)</f>
        <v/>
      </c>
      <c r="K362" s="56" t="inlineStr">
        <is>
          <t>Л7</t>
        </is>
      </c>
      <c r="L362" s="57" t="n"/>
      <c r="M362" s="66" t="inlineStr">
        <is>
          <t>Угол 90 град. горизонтальный 50х200 мм EKF, g9050200-1, ООО «Электрорешения»</t>
        </is>
      </c>
      <c r="N362" s="56" t="inlineStr">
        <is>
          <t>шт</t>
        </is>
      </c>
      <c r="O362" s="62">
        <f>P362+R362+T362+V362</f>
        <v/>
      </c>
      <c r="P362" s="24" t="n">
        <v>64</v>
      </c>
      <c r="Q362" s="24" t="n"/>
      <c r="R362" s="24" t="n"/>
      <c r="S362" s="24" t="n"/>
      <c r="T362" s="24" t="n"/>
      <c r="U362" s="24" t="n"/>
      <c r="V362" s="24" t="n"/>
      <c r="W362" s="62" t="n">
        <v>1</v>
      </c>
      <c r="X362" s="26" t="n">
        <v>7721403552</v>
      </c>
      <c r="Y362" s="26" t="n">
        <v>771501001</v>
      </c>
      <c r="Z362" s="26" t="inlineStr">
        <is>
          <t>ООО "Электрорешения"</t>
        </is>
      </c>
      <c r="AA362" s="58" t="inlineStr">
        <is>
          <t>ГТ</t>
        </is>
      </c>
      <c r="AB362" s="191" t="n"/>
      <c r="AC362" s="189" t="n"/>
      <c r="AD362" s="190">
        <f>SUM(AB362:AC362)</f>
        <v/>
      </c>
      <c r="AE362" s="190">
        <f>AB362*$O362*$W362</f>
        <v/>
      </c>
      <c r="AF362" s="190">
        <f>AC362*$O362*$W362</f>
        <v/>
      </c>
      <c r="AG362" s="190">
        <f>SUM(AE362:AF362)</f>
        <v/>
      </c>
      <c r="AH362" s="197" t="n"/>
    </row>
    <row r="363" outlineLevel="1" ht="45" customFormat="1" customHeight="1" s="22">
      <c r="A363" s="20" t="inlineStr">
        <is>
          <t>О</t>
        </is>
      </c>
      <c r="B363" s="21">
        <f>IF($K363=B$8,1+IF(OFFSET(B363,-1,0)="",0,OFFSET(B363,-1,0)),IF(B$8&lt;$K363,IF(OFFSET(B363,-1,0)="","ERR",OFFSET(B363,-1,0)),""))</f>
        <v/>
      </c>
      <c r="C363" s="21">
        <f>IF($K363=C$8,1+IF(OFFSET(C363,-1,0)="",0,OFFSET(C363,-1,0)),IF(C$8&lt;$K363,IF(OFFSET(C363,-1,0)="","ERR",OFFSET(C363,-1,0)),""))</f>
        <v/>
      </c>
      <c r="D363" s="21">
        <f>IF($K363=D$8,1+IF(OFFSET(D363,-1,0)="",0,OFFSET(D363,-1,0)),IF(D$8&lt;$K363,IF(OFFSET(D363,-1,0)="","ERR",OFFSET(D363,-1,0)),""))</f>
        <v/>
      </c>
      <c r="E363" s="21">
        <f>IF($K363=E$8,1+IF(OFFSET(E363,-1,0)="",0,OFFSET(E363,-1,0)),IF(E$8&lt;$K363,IF(OFFSET(E363,-1,0)="","ERR",OFFSET(E363,-1,0)),""))</f>
        <v/>
      </c>
      <c r="F363" s="21">
        <f>IF($K363=F$8,1+IF(OFFSET(F363,-1,0)="",0,OFFSET(F363,-1,0)),IF(F$8&lt;$K363,IF(OFFSET(F363,-1,0)="","ERR",OFFSET(F363,-1,0)),""))</f>
        <v/>
      </c>
      <c r="G363" s="21">
        <f>IF($K363=G$8,1+IF(OFFSET(G363,-1,0)="",0,OFFSET(G363,-1,0)),IF(G$8&lt;$K363,IF(OFFSET(G363,-1,0)="","ERR",OFFSET(G363,-1,0)),""))</f>
        <v/>
      </c>
      <c r="H363" s="21">
        <f>IF($K363=H$8,1+IF(OFFSET(H363,-1,0)="",0,OFFSET(H363,-1,0)),IF(H$8&lt;$K363,IF(OFFSET(H363,-1,0)="","ERR",OFFSET(H363,-1,0)),""))</f>
        <v/>
      </c>
      <c r="I363" s="21">
        <f>IF($K363=I$8,1+IF(OFFSET(I363,-1,0)="",0,OFFSET(I363,-1,0)),IF(I$8&lt;$K363,IF(OFFSET(I363,-1,0)="","ERR",OFFSET(I363,-1,0)),""))</f>
        <v/>
      </c>
      <c r="J363" s="56">
        <f>_xlfn.TEXTJOIN(".",1,B363:I363)</f>
        <v/>
      </c>
      <c r="K363" s="56" t="inlineStr">
        <is>
          <t>Л7</t>
        </is>
      </c>
      <c r="L363" s="57" t="n"/>
      <c r="M363" s="66" t="inlineStr">
        <is>
          <t>Угол 90 град. вертикальный внутренний 50x50 мм, vi905050, ООО «Электрорешения»</t>
        </is>
      </c>
      <c r="N363" s="56" t="inlineStr">
        <is>
          <t>шт</t>
        </is>
      </c>
      <c r="O363" s="62">
        <f>P363+R363+T363+V363</f>
        <v/>
      </c>
      <c r="P363" s="24" t="n">
        <v>5</v>
      </c>
      <c r="Q363" s="24" t="n"/>
      <c r="R363" s="24" t="n"/>
      <c r="S363" s="24" t="n"/>
      <c r="T363" s="24" t="n"/>
      <c r="U363" s="24" t="n"/>
      <c r="V363" s="24" t="n"/>
      <c r="W363" s="62" t="n">
        <v>1</v>
      </c>
      <c r="X363" s="26" t="n">
        <v>7721403552</v>
      </c>
      <c r="Y363" s="26" t="n">
        <v>771501001</v>
      </c>
      <c r="Z363" s="26" t="inlineStr">
        <is>
          <t>ООО "Электрорешения"</t>
        </is>
      </c>
      <c r="AA363" s="58" t="inlineStr">
        <is>
          <t>ГТ</t>
        </is>
      </c>
      <c r="AB363" s="191" t="n"/>
      <c r="AC363" s="189" t="n"/>
      <c r="AD363" s="190">
        <f>SUM(AB363:AC363)</f>
        <v/>
      </c>
      <c r="AE363" s="190">
        <f>AB363*$O363*$W363</f>
        <v/>
      </c>
      <c r="AF363" s="190">
        <f>AC363*$O363*$W363</f>
        <v/>
      </c>
      <c r="AG363" s="190">
        <f>SUM(AE363:AF363)</f>
        <v/>
      </c>
      <c r="AH363" s="197" t="n"/>
    </row>
    <row r="364" outlineLevel="1" ht="45" customFormat="1" customHeight="1" s="22">
      <c r="A364" s="20" t="inlineStr">
        <is>
          <t>О</t>
        </is>
      </c>
      <c r="B364" s="21">
        <f>IF($K364=B$8,1+IF(OFFSET(B364,-1,0)="",0,OFFSET(B364,-1,0)),IF(B$8&lt;$K364,IF(OFFSET(B364,-1,0)="","ERR",OFFSET(B364,-1,0)),""))</f>
        <v/>
      </c>
      <c r="C364" s="21">
        <f>IF($K364=C$8,1+IF(OFFSET(C364,-1,0)="",0,OFFSET(C364,-1,0)),IF(C$8&lt;$K364,IF(OFFSET(C364,-1,0)="","ERR",OFFSET(C364,-1,0)),""))</f>
        <v/>
      </c>
      <c r="D364" s="21">
        <f>IF($K364=D$8,1+IF(OFFSET(D364,-1,0)="",0,OFFSET(D364,-1,0)),IF(D$8&lt;$K364,IF(OFFSET(D364,-1,0)="","ERR",OFFSET(D364,-1,0)),""))</f>
        <v/>
      </c>
      <c r="E364" s="21">
        <f>IF($K364=E$8,1+IF(OFFSET(E364,-1,0)="",0,OFFSET(E364,-1,0)),IF(E$8&lt;$K364,IF(OFFSET(E364,-1,0)="","ERR",OFFSET(E364,-1,0)),""))</f>
        <v/>
      </c>
      <c r="F364" s="21">
        <f>IF($K364=F$8,1+IF(OFFSET(F364,-1,0)="",0,OFFSET(F364,-1,0)),IF(F$8&lt;$K364,IF(OFFSET(F364,-1,0)="","ERR",OFFSET(F364,-1,0)),""))</f>
        <v/>
      </c>
      <c r="G364" s="21">
        <f>IF($K364=G$8,1+IF(OFFSET(G364,-1,0)="",0,OFFSET(G364,-1,0)),IF(G$8&lt;$K364,IF(OFFSET(G364,-1,0)="","ERR",OFFSET(G364,-1,0)),""))</f>
        <v/>
      </c>
      <c r="H364" s="21">
        <f>IF($K364=H$8,1+IF(OFFSET(H364,-1,0)="",0,OFFSET(H364,-1,0)),IF(H$8&lt;$K364,IF(OFFSET(H364,-1,0)="","ERR",OFFSET(H364,-1,0)),""))</f>
        <v/>
      </c>
      <c r="I364" s="21">
        <f>IF($K364=I$8,1+IF(OFFSET(I364,-1,0)="",0,OFFSET(I364,-1,0)),IF(I$8&lt;$K364,IF(OFFSET(I364,-1,0)="","ERR",OFFSET(I364,-1,0)),""))</f>
        <v/>
      </c>
      <c r="J364" s="56">
        <f>_xlfn.TEXTJOIN(".",1,B364:I364)</f>
        <v/>
      </c>
      <c r="K364" s="56" t="inlineStr">
        <is>
          <t>Л7</t>
        </is>
      </c>
      <c r="L364" s="57" t="n"/>
      <c r="M364" s="66" t="inlineStr">
        <is>
          <t>Угол 90 град. вертикальный внутренний 50x100 мм, vi9050100, ООО «Электрорешения»</t>
        </is>
      </c>
      <c r="N364" s="56" t="inlineStr">
        <is>
          <t>шт</t>
        </is>
      </c>
      <c r="O364" s="62">
        <f>P364+R364+T364+V364</f>
        <v/>
      </c>
      <c r="P364" s="24" t="n">
        <v>4</v>
      </c>
      <c r="Q364" s="24" t="n"/>
      <c r="R364" s="24" t="n"/>
      <c r="S364" s="24" t="n"/>
      <c r="T364" s="24" t="n"/>
      <c r="U364" s="24" t="n"/>
      <c r="V364" s="24" t="n"/>
      <c r="W364" s="62" t="n">
        <v>1</v>
      </c>
      <c r="X364" s="26" t="n">
        <v>7721403552</v>
      </c>
      <c r="Y364" s="26" t="n">
        <v>771501001</v>
      </c>
      <c r="Z364" s="26" t="inlineStr">
        <is>
          <t>ООО "Электрорешения"</t>
        </is>
      </c>
      <c r="AA364" s="58" t="inlineStr">
        <is>
          <t>ГТ</t>
        </is>
      </c>
      <c r="AB364" s="191" t="n"/>
      <c r="AC364" s="189" t="n"/>
      <c r="AD364" s="190">
        <f>SUM(AB364:AC364)</f>
        <v/>
      </c>
      <c r="AE364" s="190">
        <f>AB364*$O364*$W364</f>
        <v/>
      </c>
      <c r="AF364" s="190">
        <f>AC364*$O364*$W364</f>
        <v/>
      </c>
      <c r="AG364" s="190">
        <f>SUM(AE364:AF364)</f>
        <v/>
      </c>
      <c r="AH364" s="197" t="n"/>
    </row>
    <row r="365" outlineLevel="1" ht="45" customFormat="1" customHeight="1" s="22">
      <c r="A365" s="20" t="inlineStr">
        <is>
          <t>О</t>
        </is>
      </c>
      <c r="B365" s="21">
        <f>IF($K365=B$8,1+IF(OFFSET(B365,-1,0)="",0,OFFSET(B365,-1,0)),IF(B$8&lt;$K365,IF(OFFSET(B365,-1,0)="","ERR",OFFSET(B365,-1,0)),""))</f>
        <v/>
      </c>
      <c r="C365" s="21">
        <f>IF($K365=C$8,1+IF(OFFSET(C365,-1,0)="",0,OFFSET(C365,-1,0)),IF(C$8&lt;$K365,IF(OFFSET(C365,-1,0)="","ERR",OFFSET(C365,-1,0)),""))</f>
        <v/>
      </c>
      <c r="D365" s="21">
        <f>IF($K365=D$8,1+IF(OFFSET(D365,-1,0)="",0,OFFSET(D365,-1,0)),IF(D$8&lt;$K365,IF(OFFSET(D365,-1,0)="","ERR",OFFSET(D365,-1,0)),""))</f>
        <v/>
      </c>
      <c r="E365" s="21">
        <f>IF($K365=E$8,1+IF(OFFSET(E365,-1,0)="",0,OFFSET(E365,-1,0)),IF(E$8&lt;$K365,IF(OFFSET(E365,-1,0)="","ERR",OFFSET(E365,-1,0)),""))</f>
        <v/>
      </c>
      <c r="F365" s="21">
        <f>IF($K365=F$8,1+IF(OFFSET(F365,-1,0)="",0,OFFSET(F365,-1,0)),IF(F$8&lt;$K365,IF(OFFSET(F365,-1,0)="","ERR",OFFSET(F365,-1,0)),""))</f>
        <v/>
      </c>
      <c r="G365" s="21">
        <f>IF($K365=G$8,1+IF(OFFSET(G365,-1,0)="",0,OFFSET(G365,-1,0)),IF(G$8&lt;$K365,IF(OFFSET(G365,-1,0)="","ERR",OFFSET(G365,-1,0)),""))</f>
        <v/>
      </c>
      <c r="H365" s="21">
        <f>IF($K365=H$8,1+IF(OFFSET(H365,-1,0)="",0,OFFSET(H365,-1,0)),IF(H$8&lt;$K365,IF(OFFSET(H365,-1,0)="","ERR",OFFSET(H365,-1,0)),""))</f>
        <v/>
      </c>
      <c r="I365" s="21">
        <f>IF($K365=I$8,1+IF(OFFSET(I365,-1,0)="",0,OFFSET(I365,-1,0)),IF(I$8&lt;$K365,IF(OFFSET(I365,-1,0)="","ERR",OFFSET(I365,-1,0)),""))</f>
        <v/>
      </c>
      <c r="J365" s="56">
        <f>_xlfn.TEXTJOIN(".",1,B365:I365)</f>
        <v/>
      </c>
      <c r="K365" s="56" t="inlineStr">
        <is>
          <t>Л7</t>
        </is>
      </c>
      <c r="L365" s="57" t="n"/>
      <c r="M365" s="66" t="inlineStr">
        <is>
          <t>Угол 90 град. вертикальный внутренний 50x150 мм, vi9050150, ООО «Электрорешения»</t>
        </is>
      </c>
      <c r="N365" s="56" t="inlineStr">
        <is>
          <t>шт</t>
        </is>
      </c>
      <c r="O365" s="62">
        <f>P365+R365+T365+V365</f>
        <v/>
      </c>
      <c r="P365" s="24" t="n">
        <v>3</v>
      </c>
      <c r="Q365" s="24" t="n"/>
      <c r="R365" s="24" t="n"/>
      <c r="S365" s="24" t="n"/>
      <c r="T365" s="24" t="n"/>
      <c r="U365" s="24" t="n"/>
      <c r="V365" s="24" t="n"/>
      <c r="W365" s="62" t="n">
        <v>1</v>
      </c>
      <c r="X365" s="26" t="n">
        <v>7721403552</v>
      </c>
      <c r="Y365" s="26" t="n">
        <v>771501001</v>
      </c>
      <c r="Z365" s="26" t="inlineStr">
        <is>
          <t>ООО "Электрорешения"</t>
        </is>
      </c>
      <c r="AA365" s="58" t="inlineStr">
        <is>
          <t>ГТ</t>
        </is>
      </c>
      <c r="AB365" s="191" t="n"/>
      <c r="AC365" s="189" t="n"/>
      <c r="AD365" s="190">
        <f>SUM(AB365:AC365)</f>
        <v/>
      </c>
      <c r="AE365" s="190">
        <f>AB365*$O365*$W365</f>
        <v/>
      </c>
      <c r="AF365" s="190">
        <f>AC365*$O365*$W365</f>
        <v/>
      </c>
      <c r="AG365" s="190">
        <f>SUM(AE365:AF365)</f>
        <v/>
      </c>
      <c r="AH365" s="197" t="n"/>
    </row>
    <row r="366" outlineLevel="1" ht="45" customFormat="1" customHeight="1" s="22">
      <c r="A366" s="20" t="inlineStr">
        <is>
          <t>О</t>
        </is>
      </c>
      <c r="B366" s="21">
        <f>IF($K366=B$8,1+IF(OFFSET(B366,-1,0)="",0,OFFSET(B366,-1,0)),IF(B$8&lt;$K366,IF(OFFSET(B366,-1,0)="","ERR",OFFSET(B366,-1,0)),""))</f>
        <v/>
      </c>
      <c r="C366" s="21">
        <f>IF($K366=C$8,1+IF(OFFSET(C366,-1,0)="",0,OFFSET(C366,-1,0)),IF(C$8&lt;$K366,IF(OFFSET(C366,-1,0)="","ERR",OFFSET(C366,-1,0)),""))</f>
        <v/>
      </c>
      <c r="D366" s="21">
        <f>IF($K366=D$8,1+IF(OFFSET(D366,-1,0)="",0,OFFSET(D366,-1,0)),IF(D$8&lt;$K366,IF(OFFSET(D366,-1,0)="","ERR",OFFSET(D366,-1,0)),""))</f>
        <v/>
      </c>
      <c r="E366" s="21">
        <f>IF($K366=E$8,1+IF(OFFSET(E366,-1,0)="",0,OFFSET(E366,-1,0)),IF(E$8&lt;$K366,IF(OFFSET(E366,-1,0)="","ERR",OFFSET(E366,-1,0)),""))</f>
        <v/>
      </c>
      <c r="F366" s="21">
        <f>IF($K366=F$8,1+IF(OFFSET(F366,-1,0)="",0,OFFSET(F366,-1,0)),IF(F$8&lt;$K366,IF(OFFSET(F366,-1,0)="","ERR",OFFSET(F366,-1,0)),""))</f>
        <v/>
      </c>
      <c r="G366" s="21">
        <f>IF($K366=G$8,1+IF(OFFSET(G366,-1,0)="",0,OFFSET(G366,-1,0)),IF(G$8&lt;$K366,IF(OFFSET(G366,-1,0)="","ERR",OFFSET(G366,-1,0)),""))</f>
        <v/>
      </c>
      <c r="H366" s="21">
        <f>IF($K366=H$8,1+IF(OFFSET(H366,-1,0)="",0,OFFSET(H366,-1,0)),IF(H$8&lt;$K366,IF(OFFSET(H366,-1,0)="","ERR",OFFSET(H366,-1,0)),""))</f>
        <v/>
      </c>
      <c r="I366" s="21">
        <f>IF($K366=I$8,1+IF(OFFSET(I366,-1,0)="",0,OFFSET(I366,-1,0)),IF(I$8&lt;$K366,IF(OFFSET(I366,-1,0)="","ERR",OFFSET(I366,-1,0)),""))</f>
        <v/>
      </c>
      <c r="J366" s="56">
        <f>_xlfn.TEXTJOIN(".",1,B366:I366)</f>
        <v/>
      </c>
      <c r="K366" s="56" t="inlineStr">
        <is>
          <t>Л7</t>
        </is>
      </c>
      <c r="L366" s="57" t="n"/>
      <c r="M366" s="66" t="inlineStr">
        <is>
          <t>Угол 90 град. вертикальный внутренний 50x200 мм, vi9050200, ООО «Электрорешения»</t>
        </is>
      </c>
      <c r="N366" s="56" t="inlineStr">
        <is>
          <t>шт</t>
        </is>
      </c>
      <c r="O366" s="62">
        <f>P366+R366+T366+V366</f>
        <v/>
      </c>
      <c r="P366" s="24" t="n">
        <v>4</v>
      </c>
      <c r="Q366" s="24" t="n"/>
      <c r="R366" s="24" t="n"/>
      <c r="S366" s="24" t="n"/>
      <c r="T366" s="24" t="n"/>
      <c r="U366" s="24" t="n"/>
      <c r="V366" s="24" t="n"/>
      <c r="W366" s="62" t="n">
        <v>1</v>
      </c>
      <c r="X366" s="26" t="n">
        <v>7721403552</v>
      </c>
      <c r="Y366" s="26" t="n">
        <v>771501001</v>
      </c>
      <c r="Z366" s="26" t="inlineStr">
        <is>
          <t>ООО "Электрорешения"</t>
        </is>
      </c>
      <c r="AA366" s="58" t="inlineStr">
        <is>
          <t>ГТ</t>
        </is>
      </c>
      <c r="AB366" s="191" t="n"/>
      <c r="AC366" s="189" t="n"/>
      <c r="AD366" s="190">
        <f>SUM(AB366:AC366)</f>
        <v/>
      </c>
      <c r="AE366" s="190">
        <f>AB366*$O366*$W366</f>
        <v/>
      </c>
      <c r="AF366" s="190">
        <f>AC366*$O366*$W366</f>
        <v/>
      </c>
      <c r="AG366" s="190">
        <f>SUM(AE366:AF366)</f>
        <v/>
      </c>
      <c r="AH366" s="197" t="n"/>
    </row>
    <row r="367" outlineLevel="1" ht="45" customFormat="1" customHeight="1" s="22">
      <c r="A367" s="20" t="inlineStr">
        <is>
          <t>О</t>
        </is>
      </c>
      <c r="B367" s="21">
        <f>IF($K367=B$8,1+IF(OFFSET(B367,-1,0)="",0,OFFSET(B367,-1,0)),IF(B$8&lt;$K367,IF(OFFSET(B367,-1,0)="","ERR",OFFSET(B367,-1,0)),""))</f>
        <v/>
      </c>
      <c r="C367" s="21">
        <f>IF($K367=C$8,1+IF(OFFSET(C367,-1,0)="",0,OFFSET(C367,-1,0)),IF(C$8&lt;$K367,IF(OFFSET(C367,-1,0)="","ERR",OFFSET(C367,-1,0)),""))</f>
        <v/>
      </c>
      <c r="D367" s="21">
        <f>IF($K367=D$8,1+IF(OFFSET(D367,-1,0)="",0,OFFSET(D367,-1,0)),IF(D$8&lt;$K367,IF(OFFSET(D367,-1,0)="","ERR",OFFSET(D367,-1,0)),""))</f>
        <v/>
      </c>
      <c r="E367" s="21">
        <f>IF($K367=E$8,1+IF(OFFSET(E367,-1,0)="",0,OFFSET(E367,-1,0)),IF(E$8&lt;$K367,IF(OFFSET(E367,-1,0)="","ERR",OFFSET(E367,-1,0)),""))</f>
        <v/>
      </c>
      <c r="F367" s="21">
        <f>IF($K367=F$8,1+IF(OFFSET(F367,-1,0)="",0,OFFSET(F367,-1,0)),IF(F$8&lt;$K367,IF(OFFSET(F367,-1,0)="","ERR",OFFSET(F367,-1,0)),""))</f>
        <v/>
      </c>
      <c r="G367" s="21">
        <f>IF($K367=G$8,1+IF(OFFSET(G367,-1,0)="",0,OFFSET(G367,-1,0)),IF(G$8&lt;$K367,IF(OFFSET(G367,-1,0)="","ERR",OFFSET(G367,-1,0)),""))</f>
        <v/>
      </c>
      <c r="H367" s="21">
        <f>IF($K367=H$8,1+IF(OFFSET(H367,-1,0)="",0,OFFSET(H367,-1,0)),IF(H$8&lt;$K367,IF(OFFSET(H367,-1,0)="","ERR",OFFSET(H367,-1,0)),""))</f>
        <v/>
      </c>
      <c r="I367" s="21">
        <f>IF($K367=I$8,1+IF(OFFSET(I367,-1,0)="",0,OFFSET(I367,-1,0)),IF(I$8&lt;$K367,IF(OFFSET(I367,-1,0)="","ERR",OFFSET(I367,-1,0)),""))</f>
        <v/>
      </c>
      <c r="J367" s="56">
        <f>_xlfn.TEXTJOIN(".",1,B367:I367)</f>
        <v/>
      </c>
      <c r="K367" s="56" t="inlineStr">
        <is>
          <t>Л7</t>
        </is>
      </c>
      <c r="L367" s="57" t="n"/>
      <c r="M367" s="66" t="inlineStr">
        <is>
          <t>Угол 90 град. вертикальный внешний 50x50 мм, vo905050, ООО «Электрорешения»</t>
        </is>
      </c>
      <c r="N367" s="56" t="inlineStr">
        <is>
          <t>шт</t>
        </is>
      </c>
      <c r="O367" s="62">
        <f>P367+R367+T367+V367</f>
        <v/>
      </c>
      <c r="P367" s="24" t="n">
        <v>5</v>
      </c>
      <c r="Q367" s="24" t="n"/>
      <c r="R367" s="24" t="n"/>
      <c r="S367" s="24" t="n"/>
      <c r="T367" s="24" t="n"/>
      <c r="U367" s="24" t="n"/>
      <c r="V367" s="24" t="n"/>
      <c r="W367" s="62" t="n">
        <v>1</v>
      </c>
      <c r="X367" s="26" t="n">
        <v>7721403552</v>
      </c>
      <c r="Y367" s="26" t="n">
        <v>771501001</v>
      </c>
      <c r="Z367" s="26" t="inlineStr">
        <is>
          <t>ООО "Электрорешения"</t>
        </is>
      </c>
      <c r="AA367" s="58" t="inlineStr">
        <is>
          <t>ГТ</t>
        </is>
      </c>
      <c r="AB367" s="191" t="n"/>
      <c r="AC367" s="189" t="n"/>
      <c r="AD367" s="190">
        <f>SUM(AB367:AC367)</f>
        <v/>
      </c>
      <c r="AE367" s="190">
        <f>AB367*$O367*$W367</f>
        <v/>
      </c>
      <c r="AF367" s="190">
        <f>AC367*$O367*$W367</f>
        <v/>
      </c>
      <c r="AG367" s="190">
        <f>SUM(AE367:AF367)</f>
        <v/>
      </c>
      <c r="AH367" s="197" t="n"/>
    </row>
    <row r="368" outlineLevel="1" ht="45" customFormat="1" customHeight="1" s="22">
      <c r="A368" s="20" t="inlineStr">
        <is>
          <t>О</t>
        </is>
      </c>
      <c r="B368" s="21">
        <f>IF($K368=B$8,1+IF(OFFSET(B368,-1,0)="",0,OFFSET(B368,-1,0)),IF(B$8&lt;$K368,IF(OFFSET(B368,-1,0)="","ERR",OFFSET(B368,-1,0)),""))</f>
        <v/>
      </c>
      <c r="C368" s="21">
        <f>IF($K368=C$8,1+IF(OFFSET(C368,-1,0)="",0,OFFSET(C368,-1,0)),IF(C$8&lt;$K368,IF(OFFSET(C368,-1,0)="","ERR",OFFSET(C368,-1,0)),""))</f>
        <v/>
      </c>
      <c r="D368" s="21">
        <f>IF($K368=D$8,1+IF(OFFSET(D368,-1,0)="",0,OFFSET(D368,-1,0)),IF(D$8&lt;$K368,IF(OFFSET(D368,-1,0)="","ERR",OFFSET(D368,-1,0)),""))</f>
        <v/>
      </c>
      <c r="E368" s="21">
        <f>IF($K368=E$8,1+IF(OFFSET(E368,-1,0)="",0,OFFSET(E368,-1,0)),IF(E$8&lt;$K368,IF(OFFSET(E368,-1,0)="","ERR",OFFSET(E368,-1,0)),""))</f>
        <v/>
      </c>
      <c r="F368" s="21">
        <f>IF($K368=F$8,1+IF(OFFSET(F368,-1,0)="",0,OFFSET(F368,-1,0)),IF(F$8&lt;$K368,IF(OFFSET(F368,-1,0)="","ERR",OFFSET(F368,-1,0)),""))</f>
        <v/>
      </c>
      <c r="G368" s="21">
        <f>IF($K368=G$8,1+IF(OFFSET(G368,-1,0)="",0,OFFSET(G368,-1,0)),IF(G$8&lt;$K368,IF(OFFSET(G368,-1,0)="","ERR",OFFSET(G368,-1,0)),""))</f>
        <v/>
      </c>
      <c r="H368" s="21">
        <f>IF($K368=H$8,1+IF(OFFSET(H368,-1,0)="",0,OFFSET(H368,-1,0)),IF(H$8&lt;$K368,IF(OFFSET(H368,-1,0)="","ERR",OFFSET(H368,-1,0)),""))</f>
        <v/>
      </c>
      <c r="I368" s="21">
        <f>IF($K368=I$8,1+IF(OFFSET(I368,-1,0)="",0,OFFSET(I368,-1,0)),IF(I$8&lt;$K368,IF(OFFSET(I368,-1,0)="","ERR",OFFSET(I368,-1,0)),""))</f>
        <v/>
      </c>
      <c r="J368" s="56">
        <f>_xlfn.TEXTJOIN(".",1,B368:I368)</f>
        <v/>
      </c>
      <c r="K368" s="56" t="inlineStr">
        <is>
          <t>Л7</t>
        </is>
      </c>
      <c r="L368" s="57" t="n"/>
      <c r="M368" s="66" t="inlineStr">
        <is>
          <t>Угол 90 град. вертикальный внешний 50x100 мм, vo9050100, ООО «Электрорешения»</t>
        </is>
      </c>
      <c r="N368" s="56" t="inlineStr">
        <is>
          <t>шт</t>
        </is>
      </c>
      <c r="O368" s="62">
        <f>P368+R368+T368+V368</f>
        <v/>
      </c>
      <c r="P368" s="24" t="n">
        <v>4</v>
      </c>
      <c r="Q368" s="24" t="n"/>
      <c r="R368" s="24" t="n"/>
      <c r="S368" s="24" t="n"/>
      <c r="T368" s="24" t="n"/>
      <c r="U368" s="24" t="n"/>
      <c r="V368" s="24" t="n"/>
      <c r="W368" s="62" t="n">
        <v>1</v>
      </c>
      <c r="X368" s="26" t="n">
        <v>7721403552</v>
      </c>
      <c r="Y368" s="26" t="n">
        <v>771501001</v>
      </c>
      <c r="Z368" s="26" t="inlineStr">
        <is>
          <t>ООО "Электрорешения"</t>
        </is>
      </c>
      <c r="AA368" s="58" t="inlineStr">
        <is>
          <t>ГТ</t>
        </is>
      </c>
      <c r="AB368" s="191" t="n"/>
      <c r="AC368" s="189" t="n"/>
      <c r="AD368" s="190">
        <f>SUM(AB368:AC368)</f>
        <v/>
      </c>
      <c r="AE368" s="190">
        <f>AB368*$O368*$W368</f>
        <v/>
      </c>
      <c r="AF368" s="190">
        <f>AC368*$O368*$W368</f>
        <v/>
      </c>
      <c r="AG368" s="190">
        <f>SUM(AE368:AF368)</f>
        <v/>
      </c>
      <c r="AH368" s="197" t="n"/>
    </row>
    <row r="369" outlineLevel="1" ht="45" customFormat="1" customHeight="1" s="22">
      <c r="A369" s="20" t="inlineStr">
        <is>
          <t>О</t>
        </is>
      </c>
      <c r="B369" s="21">
        <f>IF($K369=B$8,1+IF(OFFSET(B369,-1,0)="",0,OFFSET(B369,-1,0)),IF(B$8&lt;$K369,IF(OFFSET(B369,-1,0)="","ERR",OFFSET(B369,-1,0)),""))</f>
        <v/>
      </c>
      <c r="C369" s="21">
        <f>IF($K369=C$8,1+IF(OFFSET(C369,-1,0)="",0,OFFSET(C369,-1,0)),IF(C$8&lt;$K369,IF(OFFSET(C369,-1,0)="","ERR",OFFSET(C369,-1,0)),""))</f>
        <v/>
      </c>
      <c r="D369" s="21">
        <f>IF($K369=D$8,1+IF(OFFSET(D369,-1,0)="",0,OFFSET(D369,-1,0)),IF(D$8&lt;$K369,IF(OFFSET(D369,-1,0)="","ERR",OFFSET(D369,-1,0)),""))</f>
        <v/>
      </c>
      <c r="E369" s="21">
        <f>IF($K369=E$8,1+IF(OFFSET(E369,-1,0)="",0,OFFSET(E369,-1,0)),IF(E$8&lt;$K369,IF(OFFSET(E369,-1,0)="","ERR",OFFSET(E369,-1,0)),""))</f>
        <v/>
      </c>
      <c r="F369" s="21">
        <f>IF($K369=F$8,1+IF(OFFSET(F369,-1,0)="",0,OFFSET(F369,-1,0)),IF(F$8&lt;$K369,IF(OFFSET(F369,-1,0)="","ERR",OFFSET(F369,-1,0)),""))</f>
        <v/>
      </c>
      <c r="G369" s="21">
        <f>IF($K369=G$8,1+IF(OFFSET(G369,-1,0)="",0,OFFSET(G369,-1,0)),IF(G$8&lt;$K369,IF(OFFSET(G369,-1,0)="","ERR",OFFSET(G369,-1,0)),""))</f>
        <v/>
      </c>
      <c r="H369" s="21">
        <f>IF($K369=H$8,1+IF(OFFSET(H369,-1,0)="",0,OFFSET(H369,-1,0)),IF(H$8&lt;$K369,IF(OFFSET(H369,-1,0)="","ERR",OFFSET(H369,-1,0)),""))</f>
        <v/>
      </c>
      <c r="I369" s="21">
        <f>IF($K369=I$8,1+IF(OFFSET(I369,-1,0)="",0,OFFSET(I369,-1,0)),IF(I$8&lt;$K369,IF(OFFSET(I369,-1,0)="","ERR",OFFSET(I369,-1,0)),""))</f>
        <v/>
      </c>
      <c r="J369" s="56">
        <f>_xlfn.TEXTJOIN(".",1,B369:I369)</f>
        <v/>
      </c>
      <c r="K369" s="56" t="inlineStr">
        <is>
          <t>Л7</t>
        </is>
      </c>
      <c r="L369" s="57" t="n"/>
      <c r="M369" s="66" t="inlineStr">
        <is>
          <t>Угол 90 град. вертикальный внешний 50x150 мм, vo9050150, ООО «Электрорешения»</t>
        </is>
      </c>
      <c r="N369" s="56" t="inlineStr">
        <is>
          <t>шт</t>
        </is>
      </c>
      <c r="O369" s="62">
        <f>P369+R369+T369+V369</f>
        <v/>
      </c>
      <c r="P369" s="24" t="n">
        <v>3</v>
      </c>
      <c r="Q369" s="24" t="n"/>
      <c r="R369" s="24" t="n"/>
      <c r="S369" s="24" t="n"/>
      <c r="T369" s="24" t="n"/>
      <c r="U369" s="24" t="n"/>
      <c r="V369" s="24" t="n"/>
      <c r="W369" s="62" t="n">
        <v>1</v>
      </c>
      <c r="X369" s="26" t="n">
        <v>7721403552</v>
      </c>
      <c r="Y369" s="26" t="n">
        <v>771501001</v>
      </c>
      <c r="Z369" s="26" t="inlineStr">
        <is>
          <t>ООО "Электрорешения"</t>
        </is>
      </c>
      <c r="AA369" s="58" t="inlineStr">
        <is>
          <t>ГТ</t>
        </is>
      </c>
      <c r="AB369" s="191" t="n"/>
      <c r="AC369" s="189" t="n"/>
      <c r="AD369" s="190">
        <f>SUM(AB369:AC369)</f>
        <v/>
      </c>
      <c r="AE369" s="190">
        <f>AB369*$O369*$W369</f>
        <v/>
      </c>
      <c r="AF369" s="190">
        <f>AC369*$O369*$W369</f>
        <v/>
      </c>
      <c r="AG369" s="190">
        <f>SUM(AE369:AF369)</f>
        <v/>
      </c>
      <c r="AH369" s="197" t="n"/>
    </row>
    <row r="370" outlineLevel="1" ht="45" customFormat="1" customHeight="1" s="22">
      <c r="A370" s="20" t="inlineStr">
        <is>
          <t>О</t>
        </is>
      </c>
      <c r="B370" s="21">
        <f>IF($K370=B$8,1+IF(OFFSET(B370,-1,0)="",0,OFFSET(B370,-1,0)),IF(B$8&lt;$K370,IF(OFFSET(B370,-1,0)="","ERR",OFFSET(B370,-1,0)),""))</f>
        <v/>
      </c>
      <c r="C370" s="21">
        <f>IF($K370=C$8,1+IF(OFFSET(C370,-1,0)="",0,OFFSET(C370,-1,0)),IF(C$8&lt;$K370,IF(OFFSET(C370,-1,0)="","ERR",OFFSET(C370,-1,0)),""))</f>
        <v/>
      </c>
      <c r="D370" s="21">
        <f>IF($K370=D$8,1+IF(OFFSET(D370,-1,0)="",0,OFFSET(D370,-1,0)),IF(D$8&lt;$K370,IF(OFFSET(D370,-1,0)="","ERR",OFFSET(D370,-1,0)),""))</f>
        <v/>
      </c>
      <c r="E370" s="21">
        <f>IF($K370=E$8,1+IF(OFFSET(E370,-1,0)="",0,OFFSET(E370,-1,0)),IF(E$8&lt;$K370,IF(OFFSET(E370,-1,0)="","ERR",OFFSET(E370,-1,0)),""))</f>
        <v/>
      </c>
      <c r="F370" s="21">
        <f>IF($K370=F$8,1+IF(OFFSET(F370,-1,0)="",0,OFFSET(F370,-1,0)),IF(F$8&lt;$K370,IF(OFFSET(F370,-1,0)="","ERR",OFFSET(F370,-1,0)),""))</f>
        <v/>
      </c>
      <c r="G370" s="21">
        <f>IF($K370=G$8,1+IF(OFFSET(G370,-1,0)="",0,OFFSET(G370,-1,0)),IF(G$8&lt;$K370,IF(OFFSET(G370,-1,0)="","ERR",OFFSET(G370,-1,0)),""))</f>
        <v/>
      </c>
      <c r="H370" s="21">
        <f>IF($K370=H$8,1+IF(OFFSET(H370,-1,0)="",0,OFFSET(H370,-1,0)),IF(H$8&lt;$K370,IF(OFFSET(H370,-1,0)="","ERR",OFFSET(H370,-1,0)),""))</f>
        <v/>
      </c>
      <c r="I370" s="21">
        <f>IF($K370=I$8,1+IF(OFFSET(I370,-1,0)="",0,OFFSET(I370,-1,0)),IF(I$8&lt;$K370,IF(OFFSET(I370,-1,0)="","ERR",OFFSET(I370,-1,0)),""))</f>
        <v/>
      </c>
      <c r="J370" s="56">
        <f>_xlfn.TEXTJOIN(".",1,B370:I370)</f>
        <v/>
      </c>
      <c r="K370" s="56" t="inlineStr">
        <is>
          <t>Л7</t>
        </is>
      </c>
      <c r="L370" s="57" t="n"/>
      <c r="M370" s="66" t="inlineStr">
        <is>
          <t>Угол 90 град. вертикальный внешний 50x200 мм, vo9050200, ООО «Электрорешения»</t>
        </is>
      </c>
      <c r="N370" s="56" t="inlineStr">
        <is>
          <t>шт</t>
        </is>
      </c>
      <c r="O370" s="62">
        <f>P370+R370+T370+V370</f>
        <v/>
      </c>
      <c r="P370" s="24" t="n">
        <v>4</v>
      </c>
      <c r="Q370" s="24" t="n"/>
      <c r="R370" s="24" t="n"/>
      <c r="S370" s="24" t="n"/>
      <c r="T370" s="24" t="n"/>
      <c r="U370" s="24" t="n"/>
      <c r="V370" s="24" t="n"/>
      <c r="W370" s="62" t="n">
        <v>1</v>
      </c>
      <c r="X370" s="26" t="n">
        <v>7721403552</v>
      </c>
      <c r="Y370" s="26" t="n">
        <v>771501001</v>
      </c>
      <c r="Z370" s="26" t="inlineStr">
        <is>
          <t>ООО "Электрорешения"</t>
        </is>
      </c>
      <c r="AA370" s="58" t="inlineStr">
        <is>
          <t>ГТ</t>
        </is>
      </c>
      <c r="AB370" s="191" t="n"/>
      <c r="AC370" s="189" t="n"/>
      <c r="AD370" s="190">
        <f>SUM(AB370:AC370)</f>
        <v/>
      </c>
      <c r="AE370" s="190">
        <f>AB370*$O370*$W370</f>
        <v/>
      </c>
      <c r="AF370" s="190">
        <f>AC370*$O370*$W370</f>
        <v/>
      </c>
      <c r="AG370" s="190">
        <f>SUM(AE370:AF370)</f>
        <v/>
      </c>
      <c r="AH370" s="197" t="n"/>
    </row>
    <row r="371" outlineLevel="1" ht="45" customFormat="1" customHeight="1" s="22">
      <c r="A371" s="20" t="inlineStr">
        <is>
          <t>О</t>
        </is>
      </c>
      <c r="B371" s="21">
        <f>IF($K371=B$8,1+IF(OFFSET(B371,-1,0)="",0,OFFSET(B371,-1,0)),IF(B$8&lt;$K371,IF(OFFSET(B371,-1,0)="","ERR",OFFSET(B371,-1,0)),""))</f>
        <v/>
      </c>
      <c r="C371" s="21">
        <f>IF($K371=C$8,1+IF(OFFSET(C371,-1,0)="",0,OFFSET(C371,-1,0)),IF(C$8&lt;$K371,IF(OFFSET(C371,-1,0)="","ERR",OFFSET(C371,-1,0)),""))</f>
        <v/>
      </c>
      <c r="D371" s="21">
        <f>IF($K371=D$8,1+IF(OFFSET(D371,-1,0)="",0,OFFSET(D371,-1,0)),IF(D$8&lt;$K371,IF(OFFSET(D371,-1,0)="","ERR",OFFSET(D371,-1,0)),""))</f>
        <v/>
      </c>
      <c r="E371" s="21">
        <f>IF($K371=E$8,1+IF(OFFSET(E371,-1,0)="",0,OFFSET(E371,-1,0)),IF(E$8&lt;$K371,IF(OFFSET(E371,-1,0)="","ERR",OFFSET(E371,-1,0)),""))</f>
        <v/>
      </c>
      <c r="F371" s="21">
        <f>IF($K371=F$8,1+IF(OFFSET(F371,-1,0)="",0,OFFSET(F371,-1,0)),IF(F$8&lt;$K371,IF(OFFSET(F371,-1,0)="","ERR",OFFSET(F371,-1,0)),""))</f>
        <v/>
      </c>
      <c r="G371" s="21">
        <f>IF($K371=G$8,1+IF(OFFSET(G371,-1,0)="",0,OFFSET(G371,-1,0)),IF(G$8&lt;$K371,IF(OFFSET(G371,-1,0)="","ERR",OFFSET(G371,-1,0)),""))</f>
        <v/>
      </c>
      <c r="H371" s="21">
        <f>IF($K371=H$8,1+IF(OFFSET(H371,-1,0)="",0,OFFSET(H371,-1,0)),IF(H$8&lt;$K371,IF(OFFSET(H371,-1,0)="","ERR",OFFSET(H371,-1,0)),""))</f>
        <v/>
      </c>
      <c r="I371" s="21">
        <f>IF($K371=I$8,1+IF(OFFSET(I371,-1,0)="",0,OFFSET(I371,-1,0)),IF(I$8&lt;$K371,IF(OFFSET(I371,-1,0)="","ERR",OFFSET(I371,-1,0)),""))</f>
        <v/>
      </c>
      <c r="J371" s="56">
        <f>_xlfn.TEXTJOIN(".",1,B371:I371)</f>
        <v/>
      </c>
      <c r="K371" s="56" t="inlineStr">
        <is>
          <t>Л7</t>
        </is>
      </c>
      <c r="L371" s="57" t="n"/>
      <c r="M371" s="66" t="inlineStr">
        <is>
          <t>Угол 45 град. горизонтальный 50x200 мм, g4550200-1, ООО «Электрорешения»</t>
        </is>
      </c>
      <c r="N371" s="56" t="inlineStr">
        <is>
          <t>шт</t>
        </is>
      </c>
      <c r="O371" s="62">
        <f>P371+R371+T371+V371</f>
        <v/>
      </c>
      <c r="P371" s="24" t="n">
        <v>6</v>
      </c>
      <c r="Q371" s="24" t="n"/>
      <c r="R371" s="24" t="n"/>
      <c r="S371" s="24" t="n"/>
      <c r="T371" s="24" t="n"/>
      <c r="U371" s="24" t="n"/>
      <c r="V371" s="24" t="n"/>
      <c r="W371" s="62" t="n">
        <v>1</v>
      </c>
      <c r="X371" s="26" t="n">
        <v>7721403552</v>
      </c>
      <c r="Y371" s="26" t="n">
        <v>771501001</v>
      </c>
      <c r="Z371" s="26" t="inlineStr">
        <is>
          <t>ООО "Электрорешения"</t>
        </is>
      </c>
      <c r="AA371" s="58" t="inlineStr">
        <is>
          <t>ГТ</t>
        </is>
      </c>
      <c r="AB371" s="191" t="n"/>
      <c r="AC371" s="189" t="n"/>
      <c r="AD371" s="190">
        <f>SUM(AB371:AC371)</f>
        <v/>
      </c>
      <c r="AE371" s="190">
        <f>AB371*$O371*$W371</f>
        <v/>
      </c>
      <c r="AF371" s="190">
        <f>AC371*$O371*$W371</f>
        <v/>
      </c>
      <c r="AG371" s="190">
        <f>SUM(AE371:AF371)</f>
        <v/>
      </c>
      <c r="AH371" s="197" t="n"/>
    </row>
    <row r="372" outlineLevel="1" ht="45" customFormat="1" customHeight="1" s="22">
      <c r="A372" s="20" t="inlineStr">
        <is>
          <t>О</t>
        </is>
      </c>
      <c r="B372" s="21">
        <f>IF($K372=B$8,1+IF(OFFSET(B372,-1,0)="",0,OFFSET(B372,-1,0)),IF(B$8&lt;$K372,IF(OFFSET(B372,-1,0)="","ERR",OFFSET(B372,-1,0)),""))</f>
        <v/>
      </c>
      <c r="C372" s="21">
        <f>IF($K372=C$8,1+IF(OFFSET(C372,-1,0)="",0,OFFSET(C372,-1,0)),IF(C$8&lt;$K372,IF(OFFSET(C372,-1,0)="","ERR",OFFSET(C372,-1,0)),""))</f>
        <v/>
      </c>
      <c r="D372" s="21">
        <f>IF($K372=D$8,1+IF(OFFSET(D372,-1,0)="",0,OFFSET(D372,-1,0)),IF(D$8&lt;$K372,IF(OFFSET(D372,-1,0)="","ERR",OFFSET(D372,-1,0)),""))</f>
        <v/>
      </c>
      <c r="E372" s="21">
        <f>IF($K372=E$8,1+IF(OFFSET(E372,-1,0)="",0,OFFSET(E372,-1,0)),IF(E$8&lt;$K372,IF(OFFSET(E372,-1,0)="","ERR",OFFSET(E372,-1,0)),""))</f>
        <v/>
      </c>
      <c r="F372" s="21">
        <f>IF($K372=F$8,1+IF(OFFSET(F372,-1,0)="",0,OFFSET(F372,-1,0)),IF(F$8&lt;$K372,IF(OFFSET(F372,-1,0)="","ERR",OFFSET(F372,-1,0)),""))</f>
        <v/>
      </c>
      <c r="G372" s="21">
        <f>IF($K372=G$8,1+IF(OFFSET(G372,-1,0)="",0,OFFSET(G372,-1,0)),IF(G$8&lt;$K372,IF(OFFSET(G372,-1,0)="","ERR",OFFSET(G372,-1,0)),""))</f>
        <v/>
      </c>
      <c r="H372" s="21">
        <f>IF($K372=H$8,1+IF(OFFSET(H372,-1,0)="",0,OFFSET(H372,-1,0)),IF(H$8&lt;$K372,IF(OFFSET(H372,-1,0)="","ERR",OFFSET(H372,-1,0)),""))</f>
        <v/>
      </c>
      <c r="I372" s="21">
        <f>IF($K372=I$8,1+IF(OFFSET(I372,-1,0)="",0,OFFSET(I372,-1,0)),IF(I$8&lt;$K372,IF(OFFSET(I372,-1,0)="","ERR",OFFSET(I372,-1,0)),""))</f>
        <v/>
      </c>
      <c r="J372" s="56">
        <f>_xlfn.TEXTJOIN(".",1,B372:I372)</f>
        <v/>
      </c>
      <c r="K372" s="56" t="inlineStr">
        <is>
          <t>Л7</t>
        </is>
      </c>
      <c r="L372" s="57" t="n"/>
      <c r="M372" s="66" t="inlineStr">
        <is>
          <t>Угол 45 град. вертикальный внешний 50x50 мм, vo455050-1, ООО «Электрорешения»</t>
        </is>
      </c>
      <c r="N372" s="56" t="inlineStr">
        <is>
          <t>шт</t>
        </is>
      </c>
      <c r="O372" s="62">
        <f>P372+R372+T372+V372</f>
        <v/>
      </c>
      <c r="P372" s="24" t="n">
        <v>29</v>
      </c>
      <c r="Q372" s="24" t="n"/>
      <c r="R372" s="24" t="n"/>
      <c r="S372" s="24" t="n"/>
      <c r="T372" s="24" t="n"/>
      <c r="U372" s="24" t="n"/>
      <c r="V372" s="24" t="n"/>
      <c r="W372" s="62" t="n">
        <v>1</v>
      </c>
      <c r="X372" s="26" t="n">
        <v>7721403552</v>
      </c>
      <c r="Y372" s="26" t="n">
        <v>771501001</v>
      </c>
      <c r="Z372" s="26" t="inlineStr">
        <is>
          <t>ООО "Электрорешения"</t>
        </is>
      </c>
      <c r="AA372" s="58" t="inlineStr">
        <is>
          <t>ГТ</t>
        </is>
      </c>
      <c r="AB372" s="191" t="n"/>
      <c r="AC372" s="189" t="n"/>
      <c r="AD372" s="190">
        <f>SUM(AB372:AC372)</f>
        <v/>
      </c>
      <c r="AE372" s="190">
        <f>AB372*$O372*$W372</f>
        <v/>
      </c>
      <c r="AF372" s="190">
        <f>AC372*$O372*$W372</f>
        <v/>
      </c>
      <c r="AG372" s="190">
        <f>SUM(AE372:AF372)</f>
        <v/>
      </c>
      <c r="AH372" s="197" t="n"/>
    </row>
    <row r="373" outlineLevel="1" ht="45" customFormat="1" customHeight="1" s="22">
      <c r="A373" s="20" t="inlineStr">
        <is>
          <t>О</t>
        </is>
      </c>
      <c r="B373" s="21">
        <f>IF($K373=B$8,1+IF(OFFSET(B373,-1,0)="",0,OFFSET(B373,-1,0)),IF(B$8&lt;$K373,IF(OFFSET(B373,-1,0)="","ERR",OFFSET(B373,-1,0)),""))</f>
        <v/>
      </c>
      <c r="C373" s="21">
        <f>IF($K373=C$8,1+IF(OFFSET(C373,-1,0)="",0,OFFSET(C373,-1,0)),IF(C$8&lt;$K373,IF(OFFSET(C373,-1,0)="","ERR",OFFSET(C373,-1,0)),""))</f>
        <v/>
      </c>
      <c r="D373" s="21">
        <f>IF($K373=D$8,1+IF(OFFSET(D373,-1,0)="",0,OFFSET(D373,-1,0)),IF(D$8&lt;$K373,IF(OFFSET(D373,-1,0)="","ERR",OFFSET(D373,-1,0)),""))</f>
        <v/>
      </c>
      <c r="E373" s="21">
        <f>IF($K373=E$8,1+IF(OFFSET(E373,-1,0)="",0,OFFSET(E373,-1,0)),IF(E$8&lt;$K373,IF(OFFSET(E373,-1,0)="","ERR",OFFSET(E373,-1,0)),""))</f>
        <v/>
      </c>
      <c r="F373" s="21">
        <f>IF($K373=F$8,1+IF(OFFSET(F373,-1,0)="",0,OFFSET(F373,-1,0)),IF(F$8&lt;$K373,IF(OFFSET(F373,-1,0)="","ERR",OFFSET(F373,-1,0)),""))</f>
        <v/>
      </c>
      <c r="G373" s="21">
        <f>IF($K373=G$8,1+IF(OFFSET(G373,-1,0)="",0,OFFSET(G373,-1,0)),IF(G$8&lt;$K373,IF(OFFSET(G373,-1,0)="","ERR",OFFSET(G373,-1,0)),""))</f>
        <v/>
      </c>
      <c r="H373" s="21">
        <f>IF($K373=H$8,1+IF(OFFSET(H373,-1,0)="",0,OFFSET(H373,-1,0)),IF(H$8&lt;$K373,IF(OFFSET(H373,-1,0)="","ERR",OFFSET(H373,-1,0)),""))</f>
        <v/>
      </c>
      <c r="I373" s="21">
        <f>IF($K373=I$8,1+IF(OFFSET(I373,-1,0)="",0,OFFSET(I373,-1,0)),IF(I$8&lt;$K373,IF(OFFSET(I373,-1,0)="","ERR",OFFSET(I373,-1,0)),""))</f>
        <v/>
      </c>
      <c r="J373" s="56">
        <f>_xlfn.TEXTJOIN(".",1,B373:I373)</f>
        <v/>
      </c>
      <c r="K373" s="56" t="inlineStr">
        <is>
          <t>Л7</t>
        </is>
      </c>
      <c r="L373" s="57" t="n"/>
      <c r="M373" s="66" t="inlineStr">
        <is>
          <t>Угол 45 град. вертикальный внешний 50x100 мм, vo4550100-1, ООО «Электрорешения»</t>
        </is>
      </c>
      <c r="N373" s="56" t="inlineStr">
        <is>
          <t>шт</t>
        </is>
      </c>
      <c r="O373" s="62">
        <f>P373+R373+T373+V373</f>
        <v/>
      </c>
      <c r="P373" s="24" t="n">
        <v>5</v>
      </c>
      <c r="Q373" s="24" t="n"/>
      <c r="R373" s="24" t="n"/>
      <c r="S373" s="24" t="n"/>
      <c r="T373" s="24" t="n"/>
      <c r="U373" s="24" t="n"/>
      <c r="V373" s="24" t="n"/>
      <c r="W373" s="62" t="n">
        <v>1</v>
      </c>
      <c r="X373" s="26" t="n">
        <v>7721403552</v>
      </c>
      <c r="Y373" s="26" t="n">
        <v>771501001</v>
      </c>
      <c r="Z373" s="26" t="inlineStr">
        <is>
          <t>ООО "Электрорешения"</t>
        </is>
      </c>
      <c r="AA373" s="58" t="inlineStr">
        <is>
          <t>ГТ</t>
        </is>
      </c>
      <c r="AB373" s="191" t="n"/>
      <c r="AC373" s="189" t="n"/>
      <c r="AD373" s="190">
        <f>SUM(AB373:AC373)</f>
        <v/>
      </c>
      <c r="AE373" s="190">
        <f>AB373*$O373*$W373</f>
        <v/>
      </c>
      <c r="AF373" s="190">
        <f>AC373*$O373*$W373</f>
        <v/>
      </c>
      <c r="AG373" s="190">
        <f>SUM(AE373:AF373)</f>
        <v/>
      </c>
      <c r="AH373" s="197" t="n"/>
    </row>
    <row r="374" outlineLevel="1" ht="45" customFormat="1" customHeight="1" s="22">
      <c r="A374" s="20" t="inlineStr">
        <is>
          <t>О</t>
        </is>
      </c>
      <c r="B374" s="21">
        <f>IF($K374=B$8,1+IF(OFFSET(B374,-1,0)="",0,OFFSET(B374,-1,0)),IF(B$8&lt;$K374,IF(OFFSET(B374,-1,0)="","ERR",OFFSET(B374,-1,0)),""))</f>
        <v/>
      </c>
      <c r="C374" s="21">
        <f>IF($K374=C$8,1+IF(OFFSET(C374,-1,0)="",0,OFFSET(C374,-1,0)),IF(C$8&lt;$K374,IF(OFFSET(C374,-1,0)="","ERR",OFFSET(C374,-1,0)),""))</f>
        <v/>
      </c>
      <c r="D374" s="21">
        <f>IF($K374=D$8,1+IF(OFFSET(D374,-1,0)="",0,OFFSET(D374,-1,0)),IF(D$8&lt;$K374,IF(OFFSET(D374,-1,0)="","ERR",OFFSET(D374,-1,0)),""))</f>
        <v/>
      </c>
      <c r="E374" s="21">
        <f>IF($K374=E$8,1+IF(OFFSET(E374,-1,0)="",0,OFFSET(E374,-1,0)),IF(E$8&lt;$K374,IF(OFFSET(E374,-1,0)="","ERR",OFFSET(E374,-1,0)),""))</f>
        <v/>
      </c>
      <c r="F374" s="21">
        <f>IF($K374=F$8,1+IF(OFFSET(F374,-1,0)="",0,OFFSET(F374,-1,0)),IF(F$8&lt;$K374,IF(OFFSET(F374,-1,0)="","ERR",OFFSET(F374,-1,0)),""))</f>
        <v/>
      </c>
      <c r="G374" s="21">
        <f>IF($K374=G$8,1+IF(OFFSET(G374,-1,0)="",0,OFFSET(G374,-1,0)),IF(G$8&lt;$K374,IF(OFFSET(G374,-1,0)="","ERR",OFFSET(G374,-1,0)),""))</f>
        <v/>
      </c>
      <c r="H374" s="21">
        <f>IF($K374=H$8,1+IF(OFFSET(H374,-1,0)="",0,OFFSET(H374,-1,0)),IF(H$8&lt;$K374,IF(OFFSET(H374,-1,0)="","ERR",OFFSET(H374,-1,0)),""))</f>
        <v/>
      </c>
      <c r="I374" s="21">
        <f>IF($K374=I$8,1+IF(OFFSET(I374,-1,0)="",0,OFFSET(I374,-1,0)),IF(I$8&lt;$K374,IF(OFFSET(I374,-1,0)="","ERR",OFFSET(I374,-1,0)),""))</f>
        <v/>
      </c>
      <c r="J374" s="56">
        <f>_xlfn.TEXTJOIN(".",1,B374:I374)</f>
        <v/>
      </c>
      <c r="K374" s="56" t="inlineStr">
        <is>
          <t>Л7</t>
        </is>
      </c>
      <c r="L374" s="57" t="n"/>
      <c r="M374" s="66" t="inlineStr">
        <is>
          <t>Угол 45 град. вертикальный внешний 50x150 мм, vo4550150-1, ООО «Электрорешения»</t>
        </is>
      </c>
      <c r="N374" s="56" t="inlineStr">
        <is>
          <t>шт</t>
        </is>
      </c>
      <c r="O374" s="62">
        <f>P374+R374+T374+V374</f>
        <v/>
      </c>
      <c r="P374" s="24" t="n">
        <v>28</v>
      </c>
      <c r="Q374" s="24" t="n"/>
      <c r="R374" s="24" t="n"/>
      <c r="S374" s="24" t="n"/>
      <c r="T374" s="24" t="n"/>
      <c r="U374" s="24" t="n"/>
      <c r="V374" s="24" t="n"/>
      <c r="W374" s="62" t="n">
        <v>1</v>
      </c>
      <c r="X374" s="26" t="n">
        <v>7721403552</v>
      </c>
      <c r="Y374" s="26" t="n">
        <v>771501001</v>
      </c>
      <c r="Z374" s="26" t="inlineStr">
        <is>
          <t>ООО "Электрорешения"</t>
        </is>
      </c>
      <c r="AA374" s="58" t="inlineStr">
        <is>
          <t>ГТ</t>
        </is>
      </c>
      <c r="AB374" s="191" t="n"/>
      <c r="AC374" s="189" t="n"/>
      <c r="AD374" s="190">
        <f>SUM(AB374:AC374)</f>
        <v/>
      </c>
      <c r="AE374" s="190">
        <f>AB374*$O374*$W374</f>
        <v/>
      </c>
      <c r="AF374" s="190">
        <f>AC374*$O374*$W374</f>
        <v/>
      </c>
      <c r="AG374" s="190">
        <f>SUM(AE374:AF374)</f>
        <v/>
      </c>
      <c r="AH374" s="197" t="n"/>
    </row>
    <row r="375" outlineLevel="1" ht="45" customFormat="1" customHeight="1" s="22">
      <c r="A375" s="20" t="inlineStr">
        <is>
          <t>О</t>
        </is>
      </c>
      <c r="B375" s="21">
        <f>IF($K375=B$8,1+IF(OFFSET(B375,-1,0)="",0,OFFSET(B375,-1,0)),IF(B$8&lt;$K375,IF(OFFSET(B375,-1,0)="","ERR",OFFSET(B375,-1,0)),""))</f>
        <v/>
      </c>
      <c r="C375" s="21">
        <f>IF($K375=C$8,1+IF(OFFSET(C375,-1,0)="",0,OFFSET(C375,-1,0)),IF(C$8&lt;$K375,IF(OFFSET(C375,-1,0)="","ERR",OFFSET(C375,-1,0)),""))</f>
        <v/>
      </c>
      <c r="D375" s="21">
        <f>IF($K375=D$8,1+IF(OFFSET(D375,-1,0)="",0,OFFSET(D375,-1,0)),IF(D$8&lt;$K375,IF(OFFSET(D375,-1,0)="","ERR",OFFSET(D375,-1,0)),""))</f>
        <v/>
      </c>
      <c r="E375" s="21">
        <f>IF($K375=E$8,1+IF(OFFSET(E375,-1,0)="",0,OFFSET(E375,-1,0)),IF(E$8&lt;$K375,IF(OFFSET(E375,-1,0)="","ERR",OFFSET(E375,-1,0)),""))</f>
        <v/>
      </c>
      <c r="F375" s="21">
        <f>IF($K375=F$8,1+IF(OFFSET(F375,-1,0)="",0,OFFSET(F375,-1,0)),IF(F$8&lt;$K375,IF(OFFSET(F375,-1,0)="","ERR",OFFSET(F375,-1,0)),""))</f>
        <v/>
      </c>
      <c r="G375" s="21">
        <f>IF($K375=G$8,1+IF(OFFSET(G375,-1,0)="",0,OFFSET(G375,-1,0)),IF(G$8&lt;$K375,IF(OFFSET(G375,-1,0)="","ERR",OFFSET(G375,-1,0)),""))</f>
        <v/>
      </c>
      <c r="H375" s="21">
        <f>IF($K375=H$8,1+IF(OFFSET(H375,-1,0)="",0,OFFSET(H375,-1,0)),IF(H$8&lt;$K375,IF(OFFSET(H375,-1,0)="","ERR",OFFSET(H375,-1,0)),""))</f>
        <v/>
      </c>
      <c r="I375" s="21">
        <f>IF($K375=I$8,1+IF(OFFSET(I375,-1,0)="",0,OFFSET(I375,-1,0)),IF(I$8&lt;$K375,IF(OFFSET(I375,-1,0)="","ERR",OFFSET(I375,-1,0)),""))</f>
        <v/>
      </c>
      <c r="J375" s="56">
        <f>_xlfn.TEXTJOIN(".",1,B375:I375)</f>
        <v/>
      </c>
      <c r="K375" s="56" t="inlineStr">
        <is>
          <t>Л7</t>
        </is>
      </c>
      <c r="L375" s="57" t="n"/>
      <c r="M375" s="66" t="inlineStr">
        <is>
          <t>Угол 45 град. вертикальный внешний 50x200 мм, vo4550200-1, ООО «Электрорешения»</t>
        </is>
      </c>
      <c r="N375" s="56" t="inlineStr">
        <is>
          <t>шт</t>
        </is>
      </c>
      <c r="O375" s="62">
        <f>P375+R375+T375+V375</f>
        <v/>
      </c>
      <c r="P375" s="24" t="n">
        <v>122</v>
      </c>
      <c r="Q375" s="24" t="n"/>
      <c r="R375" s="24" t="n"/>
      <c r="S375" s="24" t="n"/>
      <c r="T375" s="24" t="n"/>
      <c r="U375" s="24" t="n"/>
      <c r="V375" s="24" t="n"/>
      <c r="W375" s="62" t="n">
        <v>1</v>
      </c>
      <c r="X375" s="26" t="n">
        <v>7721403552</v>
      </c>
      <c r="Y375" s="26" t="n">
        <v>771501001</v>
      </c>
      <c r="Z375" s="26" t="inlineStr">
        <is>
          <t>ООО "Электрорешения"</t>
        </is>
      </c>
      <c r="AA375" s="58" t="inlineStr">
        <is>
          <t>ГТ</t>
        </is>
      </c>
      <c r="AB375" s="191" t="n"/>
      <c r="AC375" s="189" t="n"/>
      <c r="AD375" s="190">
        <f>SUM(AB375:AC375)</f>
        <v/>
      </c>
      <c r="AE375" s="190">
        <f>AB375*$O375*$W375</f>
        <v/>
      </c>
      <c r="AF375" s="190">
        <f>AC375*$O375*$W375</f>
        <v/>
      </c>
      <c r="AG375" s="190">
        <f>SUM(AE375:AF375)</f>
        <v/>
      </c>
      <c r="AH375" s="197" t="n"/>
    </row>
    <row r="376" outlineLevel="1" ht="45" customFormat="1" customHeight="1" s="22">
      <c r="A376" s="20" t="inlineStr">
        <is>
          <t>О</t>
        </is>
      </c>
      <c r="B376" s="21">
        <f>IF($K376=B$8,1+IF(OFFSET(B376,-1,0)="",0,OFFSET(B376,-1,0)),IF(B$8&lt;$K376,IF(OFFSET(B376,-1,0)="","ERR",OFFSET(B376,-1,0)),""))</f>
        <v/>
      </c>
      <c r="C376" s="21">
        <f>IF($K376=C$8,1+IF(OFFSET(C376,-1,0)="",0,OFFSET(C376,-1,0)),IF(C$8&lt;$K376,IF(OFFSET(C376,-1,0)="","ERR",OFFSET(C376,-1,0)),""))</f>
        <v/>
      </c>
      <c r="D376" s="21">
        <f>IF($K376=D$8,1+IF(OFFSET(D376,-1,0)="",0,OFFSET(D376,-1,0)),IF(D$8&lt;$K376,IF(OFFSET(D376,-1,0)="","ERR",OFFSET(D376,-1,0)),""))</f>
        <v/>
      </c>
      <c r="E376" s="21">
        <f>IF($K376=E$8,1+IF(OFFSET(E376,-1,0)="",0,OFFSET(E376,-1,0)),IF(E$8&lt;$K376,IF(OFFSET(E376,-1,0)="","ERR",OFFSET(E376,-1,0)),""))</f>
        <v/>
      </c>
      <c r="F376" s="21">
        <f>IF($K376=F$8,1+IF(OFFSET(F376,-1,0)="",0,OFFSET(F376,-1,0)),IF(F$8&lt;$K376,IF(OFFSET(F376,-1,0)="","ERR",OFFSET(F376,-1,0)),""))</f>
        <v/>
      </c>
      <c r="G376" s="21">
        <f>IF($K376=G$8,1+IF(OFFSET(G376,-1,0)="",0,OFFSET(G376,-1,0)),IF(G$8&lt;$K376,IF(OFFSET(G376,-1,0)="","ERR",OFFSET(G376,-1,0)),""))</f>
        <v/>
      </c>
      <c r="H376" s="21">
        <f>IF($K376=H$8,1+IF(OFFSET(H376,-1,0)="",0,OFFSET(H376,-1,0)),IF(H$8&lt;$K376,IF(OFFSET(H376,-1,0)="","ERR",OFFSET(H376,-1,0)),""))</f>
        <v/>
      </c>
      <c r="I376" s="21">
        <f>IF($K376=I$8,1+IF(OFFSET(I376,-1,0)="",0,OFFSET(I376,-1,0)),IF(I$8&lt;$K376,IF(OFFSET(I376,-1,0)="","ERR",OFFSET(I376,-1,0)),""))</f>
        <v/>
      </c>
      <c r="J376" s="56">
        <f>_xlfn.TEXTJOIN(".",1,B376:I376)</f>
        <v/>
      </c>
      <c r="K376" s="56" t="inlineStr">
        <is>
          <t>Л7</t>
        </is>
      </c>
      <c r="L376" s="57" t="n"/>
      <c r="M376" s="66" t="inlineStr">
        <is>
          <t>Угол 45 град. вертикальный внутренний 50x50 мм, vi455050-1, ООО «Электрорешения»</t>
        </is>
      </c>
      <c r="N376" s="56" t="inlineStr">
        <is>
          <t>шт</t>
        </is>
      </c>
      <c r="O376" s="62">
        <f>P376+R376+T376+V376</f>
        <v/>
      </c>
      <c r="P376" s="24" t="n">
        <v>30</v>
      </c>
      <c r="Q376" s="24" t="n"/>
      <c r="R376" s="24" t="n"/>
      <c r="S376" s="24" t="n"/>
      <c r="T376" s="24" t="n"/>
      <c r="U376" s="24" t="n"/>
      <c r="V376" s="24" t="n"/>
      <c r="W376" s="62" t="n">
        <v>1</v>
      </c>
      <c r="X376" s="26" t="n">
        <v>7721403552</v>
      </c>
      <c r="Y376" s="26" t="n">
        <v>771501001</v>
      </c>
      <c r="Z376" s="26" t="inlineStr">
        <is>
          <t>ООО "Электрорешения"</t>
        </is>
      </c>
      <c r="AA376" s="58" t="inlineStr">
        <is>
          <t>ГТ</t>
        </is>
      </c>
      <c r="AB376" s="191" t="n"/>
      <c r="AC376" s="189" t="n"/>
      <c r="AD376" s="190">
        <f>SUM(AB376:AC376)</f>
        <v/>
      </c>
      <c r="AE376" s="190">
        <f>AB376*$O376*$W376</f>
        <v/>
      </c>
      <c r="AF376" s="190">
        <f>AC376*$O376*$W376</f>
        <v/>
      </c>
      <c r="AG376" s="190">
        <f>SUM(AE376:AF376)</f>
        <v/>
      </c>
      <c r="AH376" s="197" t="n"/>
    </row>
    <row r="377" outlineLevel="1" ht="45" customFormat="1" customHeight="1" s="22">
      <c r="A377" s="20" t="inlineStr">
        <is>
          <t>О</t>
        </is>
      </c>
      <c r="B377" s="21">
        <f>IF($K377=B$8,1+IF(OFFSET(B377,-1,0)="",0,OFFSET(B377,-1,0)),IF(B$8&lt;$K377,IF(OFFSET(B377,-1,0)="","ERR",OFFSET(B377,-1,0)),""))</f>
        <v/>
      </c>
      <c r="C377" s="21">
        <f>IF($K377=C$8,1+IF(OFFSET(C377,-1,0)="",0,OFFSET(C377,-1,0)),IF(C$8&lt;$K377,IF(OFFSET(C377,-1,0)="","ERR",OFFSET(C377,-1,0)),""))</f>
        <v/>
      </c>
      <c r="D377" s="21">
        <f>IF($K377=D$8,1+IF(OFFSET(D377,-1,0)="",0,OFFSET(D377,-1,0)),IF(D$8&lt;$K377,IF(OFFSET(D377,-1,0)="","ERR",OFFSET(D377,-1,0)),""))</f>
        <v/>
      </c>
      <c r="E377" s="21">
        <f>IF($K377=E$8,1+IF(OFFSET(E377,-1,0)="",0,OFFSET(E377,-1,0)),IF(E$8&lt;$K377,IF(OFFSET(E377,-1,0)="","ERR",OFFSET(E377,-1,0)),""))</f>
        <v/>
      </c>
      <c r="F377" s="21">
        <f>IF($K377=F$8,1+IF(OFFSET(F377,-1,0)="",0,OFFSET(F377,-1,0)),IF(F$8&lt;$K377,IF(OFFSET(F377,-1,0)="","ERR",OFFSET(F377,-1,0)),""))</f>
        <v/>
      </c>
      <c r="G377" s="21">
        <f>IF($K377=G$8,1+IF(OFFSET(G377,-1,0)="",0,OFFSET(G377,-1,0)),IF(G$8&lt;$K377,IF(OFFSET(G377,-1,0)="","ERR",OFFSET(G377,-1,0)),""))</f>
        <v/>
      </c>
      <c r="H377" s="21">
        <f>IF($K377=H$8,1+IF(OFFSET(H377,-1,0)="",0,OFFSET(H377,-1,0)),IF(H$8&lt;$K377,IF(OFFSET(H377,-1,0)="","ERR",OFFSET(H377,-1,0)),""))</f>
        <v/>
      </c>
      <c r="I377" s="21">
        <f>IF($K377=I$8,1+IF(OFFSET(I377,-1,0)="",0,OFFSET(I377,-1,0)),IF(I$8&lt;$K377,IF(OFFSET(I377,-1,0)="","ERR",OFFSET(I377,-1,0)),""))</f>
        <v/>
      </c>
      <c r="J377" s="56">
        <f>_xlfn.TEXTJOIN(".",1,B377:I377)</f>
        <v/>
      </c>
      <c r="K377" s="56" t="inlineStr">
        <is>
          <t>Л7</t>
        </is>
      </c>
      <c r="L377" s="57" t="n"/>
      <c r="M377" s="66" t="inlineStr">
        <is>
          <t>Угол 45 град. вертикальный внутренний 50x100 мм, vi4550100-1, ООО «Электрорешения»</t>
        </is>
      </c>
      <c r="N377" s="56" t="inlineStr">
        <is>
          <t>шт</t>
        </is>
      </c>
      <c r="O377" s="62">
        <f>P377+R377+T377+V377</f>
        <v/>
      </c>
      <c r="P377" s="24" t="n">
        <v>5</v>
      </c>
      <c r="Q377" s="24" t="n"/>
      <c r="R377" s="24" t="n"/>
      <c r="S377" s="24" t="n"/>
      <c r="T377" s="24" t="n"/>
      <c r="U377" s="24" t="n"/>
      <c r="V377" s="24" t="n"/>
      <c r="W377" s="62" t="n">
        <v>1</v>
      </c>
      <c r="X377" s="26" t="n">
        <v>7721403552</v>
      </c>
      <c r="Y377" s="26" t="n">
        <v>771501001</v>
      </c>
      <c r="Z377" s="26" t="inlineStr">
        <is>
          <t>ООО "Электрорешения"</t>
        </is>
      </c>
      <c r="AA377" s="58" t="inlineStr">
        <is>
          <t>ГТ</t>
        </is>
      </c>
      <c r="AB377" s="191" t="n"/>
      <c r="AC377" s="189" t="n"/>
      <c r="AD377" s="190">
        <f>SUM(AB377:AC377)</f>
        <v/>
      </c>
      <c r="AE377" s="190">
        <f>AB377*$O377*$W377</f>
        <v/>
      </c>
      <c r="AF377" s="190">
        <f>AC377*$O377*$W377</f>
        <v/>
      </c>
      <c r="AG377" s="190">
        <f>SUM(AE377:AF377)</f>
        <v/>
      </c>
      <c r="AH377" s="197" t="n"/>
    </row>
    <row r="378" outlineLevel="1" ht="45" customFormat="1" customHeight="1" s="22">
      <c r="A378" s="20" t="inlineStr">
        <is>
          <t>О</t>
        </is>
      </c>
      <c r="B378" s="21">
        <f>IF($K378=B$8,1+IF(OFFSET(B378,-1,0)="",0,OFFSET(B378,-1,0)),IF(B$8&lt;$K378,IF(OFFSET(B378,-1,0)="","ERR",OFFSET(B378,-1,0)),""))</f>
        <v/>
      </c>
      <c r="C378" s="21">
        <f>IF($K378=C$8,1+IF(OFFSET(C378,-1,0)="",0,OFFSET(C378,-1,0)),IF(C$8&lt;$K378,IF(OFFSET(C378,-1,0)="","ERR",OFFSET(C378,-1,0)),""))</f>
        <v/>
      </c>
      <c r="D378" s="21">
        <f>IF($K378=D$8,1+IF(OFFSET(D378,-1,0)="",0,OFFSET(D378,-1,0)),IF(D$8&lt;$K378,IF(OFFSET(D378,-1,0)="","ERR",OFFSET(D378,-1,0)),""))</f>
        <v/>
      </c>
      <c r="E378" s="21">
        <f>IF($K378=E$8,1+IF(OFFSET(E378,-1,0)="",0,OFFSET(E378,-1,0)),IF(E$8&lt;$K378,IF(OFFSET(E378,-1,0)="","ERR",OFFSET(E378,-1,0)),""))</f>
        <v/>
      </c>
      <c r="F378" s="21">
        <f>IF($K378=F$8,1+IF(OFFSET(F378,-1,0)="",0,OFFSET(F378,-1,0)),IF(F$8&lt;$K378,IF(OFFSET(F378,-1,0)="","ERR",OFFSET(F378,-1,0)),""))</f>
        <v/>
      </c>
      <c r="G378" s="21">
        <f>IF($K378=G$8,1+IF(OFFSET(G378,-1,0)="",0,OFFSET(G378,-1,0)),IF(G$8&lt;$K378,IF(OFFSET(G378,-1,0)="","ERR",OFFSET(G378,-1,0)),""))</f>
        <v/>
      </c>
      <c r="H378" s="21">
        <f>IF($K378=H$8,1+IF(OFFSET(H378,-1,0)="",0,OFFSET(H378,-1,0)),IF(H$8&lt;$K378,IF(OFFSET(H378,-1,0)="","ERR",OFFSET(H378,-1,0)),""))</f>
        <v/>
      </c>
      <c r="I378" s="21">
        <f>IF($K378=I$8,1+IF(OFFSET(I378,-1,0)="",0,OFFSET(I378,-1,0)),IF(I$8&lt;$K378,IF(OFFSET(I378,-1,0)="","ERR",OFFSET(I378,-1,0)),""))</f>
        <v/>
      </c>
      <c r="J378" s="56">
        <f>_xlfn.TEXTJOIN(".",1,B378:I378)</f>
        <v/>
      </c>
      <c r="K378" s="56" t="inlineStr">
        <is>
          <t>Л7</t>
        </is>
      </c>
      <c r="L378" s="57" t="n"/>
      <c r="M378" s="66" t="inlineStr">
        <is>
          <t>Угол 45 град. вертикальный внутренний 50x150 мм, vi4550150-1, ООО «Электрорешения»</t>
        </is>
      </c>
      <c r="N378" s="56" t="inlineStr">
        <is>
          <t>шт</t>
        </is>
      </c>
      <c r="O378" s="62">
        <f>P378+R378+T378+V378</f>
        <v/>
      </c>
      <c r="P378" s="24" t="n">
        <v>28</v>
      </c>
      <c r="Q378" s="24" t="n"/>
      <c r="R378" s="24" t="n"/>
      <c r="S378" s="24" t="n"/>
      <c r="T378" s="24" t="n"/>
      <c r="U378" s="24" t="n"/>
      <c r="V378" s="24" t="n"/>
      <c r="W378" s="62" t="n">
        <v>1</v>
      </c>
      <c r="X378" s="26" t="n">
        <v>7721403552</v>
      </c>
      <c r="Y378" s="26" t="n">
        <v>771501001</v>
      </c>
      <c r="Z378" s="26" t="inlineStr">
        <is>
          <t>ООО "Электрорешения"</t>
        </is>
      </c>
      <c r="AA378" s="58" t="inlineStr">
        <is>
          <t>ГТ</t>
        </is>
      </c>
      <c r="AB378" s="191" t="n"/>
      <c r="AC378" s="189" t="n"/>
      <c r="AD378" s="190">
        <f>SUM(AB378:AC378)</f>
        <v/>
      </c>
      <c r="AE378" s="190">
        <f>AB378*$O378*$W378</f>
        <v/>
      </c>
      <c r="AF378" s="190">
        <f>AC378*$O378*$W378</f>
        <v/>
      </c>
      <c r="AG378" s="190">
        <f>SUM(AE378:AF378)</f>
        <v/>
      </c>
      <c r="AH378" s="197" t="n"/>
    </row>
    <row r="379" outlineLevel="1" ht="45" customFormat="1" customHeight="1" s="22">
      <c r="A379" s="20" t="inlineStr">
        <is>
          <t>О</t>
        </is>
      </c>
      <c r="B379" s="21">
        <f>IF($K379=B$8,1+IF(OFFSET(B379,-1,0)="",0,OFFSET(B379,-1,0)),IF(B$8&lt;$K379,IF(OFFSET(B379,-1,0)="","ERR",OFFSET(B379,-1,0)),""))</f>
        <v/>
      </c>
      <c r="C379" s="21">
        <f>IF($K379=C$8,1+IF(OFFSET(C379,-1,0)="",0,OFFSET(C379,-1,0)),IF(C$8&lt;$K379,IF(OFFSET(C379,-1,0)="","ERR",OFFSET(C379,-1,0)),""))</f>
        <v/>
      </c>
      <c r="D379" s="21">
        <f>IF($K379=D$8,1+IF(OFFSET(D379,-1,0)="",0,OFFSET(D379,-1,0)),IF(D$8&lt;$K379,IF(OFFSET(D379,-1,0)="","ERR",OFFSET(D379,-1,0)),""))</f>
        <v/>
      </c>
      <c r="E379" s="21">
        <f>IF($K379=E$8,1+IF(OFFSET(E379,-1,0)="",0,OFFSET(E379,-1,0)),IF(E$8&lt;$K379,IF(OFFSET(E379,-1,0)="","ERR",OFFSET(E379,-1,0)),""))</f>
        <v/>
      </c>
      <c r="F379" s="21">
        <f>IF($K379=F$8,1+IF(OFFSET(F379,-1,0)="",0,OFFSET(F379,-1,0)),IF(F$8&lt;$K379,IF(OFFSET(F379,-1,0)="","ERR",OFFSET(F379,-1,0)),""))</f>
        <v/>
      </c>
      <c r="G379" s="21">
        <f>IF($K379=G$8,1+IF(OFFSET(G379,-1,0)="",0,OFFSET(G379,-1,0)),IF(G$8&lt;$K379,IF(OFFSET(G379,-1,0)="","ERR",OFFSET(G379,-1,0)),""))</f>
        <v/>
      </c>
      <c r="H379" s="21">
        <f>IF($K379=H$8,1+IF(OFFSET(H379,-1,0)="",0,OFFSET(H379,-1,0)),IF(H$8&lt;$K379,IF(OFFSET(H379,-1,0)="","ERR",OFFSET(H379,-1,0)),""))</f>
        <v/>
      </c>
      <c r="I379" s="21">
        <f>IF($K379=I$8,1+IF(OFFSET(I379,-1,0)="",0,OFFSET(I379,-1,0)),IF(I$8&lt;$K379,IF(OFFSET(I379,-1,0)="","ERR",OFFSET(I379,-1,0)),""))</f>
        <v/>
      </c>
      <c r="J379" s="56">
        <f>_xlfn.TEXTJOIN(".",1,B379:I379)</f>
        <v/>
      </c>
      <c r="K379" s="56" t="inlineStr">
        <is>
          <t>Л7</t>
        </is>
      </c>
      <c r="L379" s="57" t="n"/>
      <c r="M379" s="66" t="inlineStr">
        <is>
          <t>Угол 45 град. вертикальный внутренний 50x200 мм, vi4550200-1, ООО «Электрорешения»</t>
        </is>
      </c>
      <c r="N379" s="56" t="inlineStr">
        <is>
          <t>шт</t>
        </is>
      </c>
      <c r="O379" s="62">
        <f>P379+R379+T379+V379</f>
        <v/>
      </c>
      <c r="P379" s="24" t="n">
        <v>117</v>
      </c>
      <c r="Q379" s="24" t="n"/>
      <c r="R379" s="24" t="n"/>
      <c r="S379" s="24" t="n"/>
      <c r="T379" s="24" t="n"/>
      <c r="U379" s="24" t="n"/>
      <c r="V379" s="24" t="n"/>
      <c r="W379" s="62" t="n">
        <v>1</v>
      </c>
      <c r="X379" s="26" t="n">
        <v>7721403552</v>
      </c>
      <c r="Y379" s="26" t="n">
        <v>771501001</v>
      </c>
      <c r="Z379" s="26" t="inlineStr">
        <is>
          <t>ООО "Электрорешения"</t>
        </is>
      </c>
      <c r="AA379" s="58" t="inlineStr">
        <is>
          <t>ГТ</t>
        </is>
      </c>
      <c r="AB379" s="191" t="n"/>
      <c r="AC379" s="189" t="n"/>
      <c r="AD379" s="190">
        <f>SUM(AB379:AC379)</f>
        <v/>
      </c>
      <c r="AE379" s="190">
        <f>AB379*$O379*$W379</f>
        <v/>
      </c>
      <c r="AF379" s="190">
        <f>AC379*$O379*$W379</f>
        <v/>
      </c>
      <c r="AG379" s="190">
        <f>SUM(AE379:AF379)</f>
        <v/>
      </c>
      <c r="AH379" s="197" t="n"/>
    </row>
    <row r="380" outlineLevel="1" ht="45" customFormat="1" customHeight="1" s="22">
      <c r="A380" s="20" t="inlineStr">
        <is>
          <t>О</t>
        </is>
      </c>
      <c r="B380" s="21">
        <f>IF($K380=B$8,1+IF(OFFSET(B380,-1,0)="",0,OFFSET(B380,-1,0)),IF(B$8&lt;$K380,IF(OFFSET(B380,-1,0)="","ERR",OFFSET(B380,-1,0)),""))</f>
        <v/>
      </c>
      <c r="C380" s="21">
        <f>IF($K380=C$8,1+IF(OFFSET(C380,-1,0)="",0,OFFSET(C380,-1,0)),IF(C$8&lt;$K380,IF(OFFSET(C380,-1,0)="","ERR",OFFSET(C380,-1,0)),""))</f>
        <v/>
      </c>
      <c r="D380" s="21">
        <f>IF($K380=D$8,1+IF(OFFSET(D380,-1,0)="",0,OFFSET(D380,-1,0)),IF(D$8&lt;$K380,IF(OFFSET(D380,-1,0)="","ERR",OFFSET(D380,-1,0)),""))</f>
        <v/>
      </c>
      <c r="E380" s="21">
        <f>IF($K380=E$8,1+IF(OFFSET(E380,-1,0)="",0,OFFSET(E380,-1,0)),IF(E$8&lt;$K380,IF(OFFSET(E380,-1,0)="","ERR",OFFSET(E380,-1,0)),""))</f>
        <v/>
      </c>
      <c r="F380" s="21">
        <f>IF($K380=F$8,1+IF(OFFSET(F380,-1,0)="",0,OFFSET(F380,-1,0)),IF(F$8&lt;$K380,IF(OFFSET(F380,-1,0)="","ERR",OFFSET(F380,-1,0)),""))</f>
        <v/>
      </c>
      <c r="G380" s="21">
        <f>IF($K380=G$8,1+IF(OFFSET(G380,-1,0)="",0,OFFSET(G380,-1,0)),IF(G$8&lt;$K380,IF(OFFSET(G380,-1,0)="","ERR",OFFSET(G380,-1,0)),""))</f>
        <v/>
      </c>
      <c r="H380" s="21">
        <f>IF($K380=H$8,1+IF(OFFSET(H380,-1,0)="",0,OFFSET(H380,-1,0)),IF(H$8&lt;$K380,IF(OFFSET(H380,-1,0)="","ERR",OFFSET(H380,-1,0)),""))</f>
        <v/>
      </c>
      <c r="I380" s="21">
        <f>IF($K380=I$8,1+IF(OFFSET(I380,-1,0)="",0,OFFSET(I380,-1,0)),IF(I$8&lt;$K380,IF(OFFSET(I380,-1,0)="","ERR",OFFSET(I380,-1,0)),""))</f>
        <v/>
      </c>
      <c r="J380" s="56">
        <f>_xlfn.TEXTJOIN(".",1,B380:I380)</f>
        <v/>
      </c>
      <c r="K380" s="56" t="inlineStr">
        <is>
          <t>Л7</t>
        </is>
      </c>
      <c r="L380" s="57" t="n"/>
      <c r="M380" s="66" t="inlineStr">
        <is>
          <t>Угол горизонтальный изменяемый 50х100 мм EKF, y50100, ООО «Электрорешения»</t>
        </is>
      </c>
      <c r="N380" s="56" t="inlineStr">
        <is>
          <t>шт</t>
        </is>
      </c>
      <c r="O380" s="62">
        <f>P380+R380+T380+V380</f>
        <v/>
      </c>
      <c r="P380" s="24" t="n">
        <v>42</v>
      </c>
      <c r="Q380" s="24" t="n"/>
      <c r="R380" s="24" t="n"/>
      <c r="S380" s="24" t="n"/>
      <c r="T380" s="24" t="n"/>
      <c r="U380" s="24" t="n"/>
      <c r="V380" s="24" t="n"/>
      <c r="W380" s="62" t="n">
        <v>1</v>
      </c>
      <c r="X380" s="26" t="n">
        <v>7721403552</v>
      </c>
      <c r="Y380" s="26" t="n">
        <v>771501001</v>
      </c>
      <c r="Z380" s="26" t="inlineStr">
        <is>
          <t>ООО "Электрорешения"</t>
        </is>
      </c>
      <c r="AA380" s="58" t="inlineStr">
        <is>
          <t>ГТ</t>
        </is>
      </c>
      <c r="AB380" s="191" t="n"/>
      <c r="AC380" s="189" t="n"/>
      <c r="AD380" s="190">
        <f>SUM(AB380:AC380)</f>
        <v/>
      </c>
      <c r="AE380" s="190">
        <f>AB380*$O380*$W380</f>
        <v/>
      </c>
      <c r="AF380" s="190">
        <f>AC380*$O380*$W380</f>
        <v/>
      </c>
      <c r="AG380" s="190">
        <f>SUM(AE380:AF380)</f>
        <v/>
      </c>
      <c r="AH380" s="197" t="n"/>
    </row>
    <row r="381" outlineLevel="1" ht="45" customFormat="1" customHeight="1" s="22">
      <c r="A381" s="20" t="inlineStr">
        <is>
          <t>О</t>
        </is>
      </c>
      <c r="B381" s="21">
        <f>IF($K381=B$8,1+IF(OFFSET(B381,-1,0)="",0,OFFSET(B381,-1,0)),IF(B$8&lt;$K381,IF(OFFSET(B381,-1,0)="","ERR",OFFSET(B381,-1,0)),""))</f>
        <v/>
      </c>
      <c r="C381" s="21">
        <f>IF($K381=C$8,1+IF(OFFSET(C381,-1,0)="",0,OFFSET(C381,-1,0)),IF(C$8&lt;$K381,IF(OFFSET(C381,-1,0)="","ERR",OFFSET(C381,-1,0)),""))</f>
        <v/>
      </c>
      <c r="D381" s="21">
        <f>IF($K381=D$8,1+IF(OFFSET(D381,-1,0)="",0,OFFSET(D381,-1,0)),IF(D$8&lt;$K381,IF(OFFSET(D381,-1,0)="","ERR",OFFSET(D381,-1,0)),""))</f>
        <v/>
      </c>
      <c r="E381" s="21">
        <f>IF($K381=E$8,1+IF(OFFSET(E381,-1,0)="",0,OFFSET(E381,-1,0)),IF(E$8&lt;$K381,IF(OFFSET(E381,-1,0)="","ERR",OFFSET(E381,-1,0)),""))</f>
        <v/>
      </c>
      <c r="F381" s="21">
        <f>IF($K381=F$8,1+IF(OFFSET(F381,-1,0)="",0,OFFSET(F381,-1,0)),IF(F$8&lt;$K381,IF(OFFSET(F381,-1,0)="","ERR",OFFSET(F381,-1,0)),""))</f>
        <v/>
      </c>
      <c r="G381" s="21">
        <f>IF($K381=G$8,1+IF(OFFSET(G381,-1,0)="",0,OFFSET(G381,-1,0)),IF(G$8&lt;$K381,IF(OFFSET(G381,-1,0)="","ERR",OFFSET(G381,-1,0)),""))</f>
        <v/>
      </c>
      <c r="H381" s="21">
        <f>IF($K381=H$8,1+IF(OFFSET(H381,-1,0)="",0,OFFSET(H381,-1,0)),IF(H$8&lt;$K381,IF(OFFSET(H381,-1,0)="","ERR",OFFSET(H381,-1,0)),""))</f>
        <v/>
      </c>
      <c r="I381" s="21">
        <f>IF($K381=I$8,1+IF(OFFSET(I381,-1,0)="",0,OFFSET(I381,-1,0)),IF(I$8&lt;$K381,IF(OFFSET(I381,-1,0)="","ERR",OFFSET(I381,-1,0)),""))</f>
        <v/>
      </c>
      <c r="J381" s="56">
        <f>_xlfn.TEXTJOIN(".",1,B381:I381)</f>
        <v/>
      </c>
      <c r="K381" s="56" t="inlineStr">
        <is>
          <t>Л7</t>
        </is>
      </c>
      <c r="L381" s="57" t="n"/>
      <c r="M381" s="66" t="inlineStr">
        <is>
          <t>Угол горизонтальный изменяемый 50х150 мм EKF, y50150, ООО «Электрорешения»</t>
        </is>
      </c>
      <c r="N381" s="56" t="inlineStr">
        <is>
          <t>шт</t>
        </is>
      </c>
      <c r="O381" s="62">
        <f>P381+R381+T381+V381</f>
        <v/>
      </c>
      <c r="P381" s="24" t="n">
        <v>121</v>
      </c>
      <c r="Q381" s="24" t="n"/>
      <c r="R381" s="24" t="n"/>
      <c r="S381" s="24" t="n"/>
      <c r="T381" s="24" t="n"/>
      <c r="U381" s="24" t="n"/>
      <c r="V381" s="24" t="n"/>
      <c r="W381" s="62" t="n">
        <v>1</v>
      </c>
      <c r="X381" s="26" t="n">
        <v>7721403552</v>
      </c>
      <c r="Y381" s="26" t="n">
        <v>771501001</v>
      </c>
      <c r="Z381" s="26" t="inlineStr">
        <is>
          <t>ООО "Электрорешения"</t>
        </is>
      </c>
      <c r="AA381" s="58" t="inlineStr">
        <is>
          <t>ГТ</t>
        </is>
      </c>
      <c r="AB381" s="191" t="n"/>
      <c r="AC381" s="189" t="n"/>
      <c r="AD381" s="190">
        <f>SUM(AB381:AC381)</f>
        <v/>
      </c>
      <c r="AE381" s="190">
        <f>AB381*$O381*$W381</f>
        <v/>
      </c>
      <c r="AF381" s="190">
        <f>AC381*$O381*$W381</f>
        <v/>
      </c>
      <c r="AG381" s="190">
        <f>SUM(AE381:AF381)</f>
        <v/>
      </c>
      <c r="AH381" s="197" t="n"/>
    </row>
    <row r="382" outlineLevel="1" ht="45" customFormat="1" customHeight="1" s="22">
      <c r="A382" s="20" t="inlineStr">
        <is>
          <t>О</t>
        </is>
      </c>
      <c r="B382" s="21">
        <f>IF($K382=B$8,1+IF(OFFSET(B382,-1,0)="",0,OFFSET(B382,-1,0)),IF(B$8&lt;$K382,IF(OFFSET(B382,-1,0)="","ERR",OFFSET(B382,-1,0)),""))</f>
        <v/>
      </c>
      <c r="C382" s="21">
        <f>IF($K382=C$8,1+IF(OFFSET(C382,-1,0)="",0,OFFSET(C382,-1,0)),IF(C$8&lt;$K382,IF(OFFSET(C382,-1,0)="","ERR",OFFSET(C382,-1,0)),""))</f>
        <v/>
      </c>
      <c r="D382" s="21">
        <f>IF($K382=D$8,1+IF(OFFSET(D382,-1,0)="",0,OFFSET(D382,-1,0)),IF(D$8&lt;$K382,IF(OFFSET(D382,-1,0)="","ERR",OFFSET(D382,-1,0)),""))</f>
        <v/>
      </c>
      <c r="E382" s="21">
        <f>IF($K382=E$8,1+IF(OFFSET(E382,-1,0)="",0,OFFSET(E382,-1,0)),IF(E$8&lt;$K382,IF(OFFSET(E382,-1,0)="","ERR",OFFSET(E382,-1,0)),""))</f>
        <v/>
      </c>
      <c r="F382" s="21">
        <f>IF($K382=F$8,1+IF(OFFSET(F382,-1,0)="",0,OFFSET(F382,-1,0)),IF(F$8&lt;$K382,IF(OFFSET(F382,-1,0)="","ERR",OFFSET(F382,-1,0)),""))</f>
        <v/>
      </c>
      <c r="G382" s="21">
        <f>IF($K382=G$8,1+IF(OFFSET(G382,-1,0)="",0,OFFSET(G382,-1,0)),IF(G$8&lt;$K382,IF(OFFSET(G382,-1,0)="","ERR",OFFSET(G382,-1,0)),""))</f>
        <v/>
      </c>
      <c r="H382" s="21">
        <f>IF($K382=H$8,1+IF(OFFSET(H382,-1,0)="",0,OFFSET(H382,-1,0)),IF(H$8&lt;$K382,IF(OFFSET(H382,-1,0)="","ERR",OFFSET(H382,-1,0)),""))</f>
        <v/>
      </c>
      <c r="I382" s="21">
        <f>IF($K382=I$8,1+IF(OFFSET(I382,-1,0)="",0,OFFSET(I382,-1,0)),IF(I$8&lt;$K382,IF(OFFSET(I382,-1,0)="","ERR",OFFSET(I382,-1,0)),""))</f>
        <v/>
      </c>
      <c r="J382" s="56">
        <f>_xlfn.TEXTJOIN(".",1,B382:I382)</f>
        <v/>
      </c>
      <c r="K382" s="56" t="inlineStr">
        <is>
          <t>Л7</t>
        </is>
      </c>
      <c r="L382" s="57" t="n"/>
      <c r="M382" s="66" t="inlineStr">
        <is>
          <t>Угол горизонтальный изменяемый 50х200 мм EKF, y50200, ООО «Электрорешения»</t>
        </is>
      </c>
      <c r="N382" s="56" t="inlineStr">
        <is>
          <t>шт</t>
        </is>
      </c>
      <c r="O382" s="62">
        <f>P382+R382+T382+V382</f>
        <v/>
      </c>
      <c r="P382" s="24" t="n">
        <v>147</v>
      </c>
      <c r="Q382" s="24" t="n"/>
      <c r="R382" s="24" t="n"/>
      <c r="S382" s="24" t="n"/>
      <c r="T382" s="24" t="n"/>
      <c r="U382" s="24" t="n"/>
      <c r="V382" s="24" t="n"/>
      <c r="W382" s="62" t="n">
        <v>1</v>
      </c>
      <c r="X382" s="26" t="n">
        <v>7721403552</v>
      </c>
      <c r="Y382" s="26" t="n">
        <v>771501001</v>
      </c>
      <c r="Z382" s="26" t="inlineStr">
        <is>
          <t>ООО "Электрорешения"</t>
        </is>
      </c>
      <c r="AA382" s="58" t="inlineStr">
        <is>
          <t>ГТ</t>
        </is>
      </c>
      <c r="AB382" s="191" t="n"/>
      <c r="AC382" s="189" t="n"/>
      <c r="AD382" s="190">
        <f>SUM(AB382:AC382)</f>
        <v/>
      </c>
      <c r="AE382" s="190">
        <f>AB382*$O382*$W382</f>
        <v/>
      </c>
      <c r="AF382" s="190">
        <f>AC382*$O382*$W382</f>
        <v/>
      </c>
      <c r="AG382" s="190">
        <f>SUM(AE382:AF382)</f>
        <v/>
      </c>
      <c r="AH382" s="197" t="n"/>
    </row>
    <row r="383" outlineLevel="1" customFormat="1" s="22">
      <c r="A383" s="20" t="inlineStr">
        <is>
          <t>О</t>
        </is>
      </c>
      <c r="B383" s="21">
        <f>IF($K383=B$8,1+IF(OFFSET(B383,-1,0)="",0,OFFSET(B383,-1,0)),IF(B$8&lt;$K383,IF(OFFSET(B383,-1,0)="","ERR",OFFSET(B383,-1,0)),""))</f>
        <v/>
      </c>
      <c r="C383" s="21">
        <f>IF($K383=C$8,1+IF(OFFSET(C383,-1,0)="",0,OFFSET(C383,-1,0)),IF(C$8&lt;$K383,IF(OFFSET(C383,-1,0)="","ERR",OFFSET(C383,-1,0)),""))</f>
        <v/>
      </c>
      <c r="D383" s="21">
        <f>IF($K383=D$8,1+IF(OFFSET(D383,-1,0)="",0,OFFSET(D383,-1,0)),IF(D$8&lt;$K383,IF(OFFSET(D383,-1,0)="","ERR",OFFSET(D383,-1,0)),""))</f>
        <v/>
      </c>
      <c r="E383" s="21">
        <f>IF($K383=E$8,1+IF(OFFSET(E383,-1,0)="",0,OFFSET(E383,-1,0)),IF(E$8&lt;$K383,IF(OFFSET(E383,-1,0)="","ERR",OFFSET(E383,-1,0)),""))</f>
        <v/>
      </c>
      <c r="F383" s="21">
        <f>IF($K383=F$8,1+IF(OFFSET(F383,-1,0)="",0,OFFSET(F383,-1,0)),IF(F$8&lt;$K383,IF(OFFSET(F383,-1,0)="","ERR",OFFSET(F383,-1,0)),""))</f>
        <v/>
      </c>
      <c r="G383" s="21">
        <f>IF($K383=G$8,1+IF(OFFSET(G383,-1,0)="",0,OFFSET(G383,-1,0)),IF(G$8&lt;$K383,IF(OFFSET(G383,-1,0)="","ERR",OFFSET(G383,-1,0)),""))</f>
        <v/>
      </c>
      <c r="H383" s="21">
        <f>IF($K383=H$8,1+IF(OFFSET(H383,-1,0)="",0,OFFSET(H383,-1,0)),IF(H$8&lt;$K383,IF(OFFSET(H383,-1,0)="","ERR",OFFSET(H383,-1,0)),""))</f>
        <v/>
      </c>
      <c r="I383" s="21">
        <f>IF($K383=I$8,1+IF(OFFSET(I383,-1,0)="",0,OFFSET(I383,-1,0)),IF(I$8&lt;$K383,IF(OFFSET(I383,-1,0)="","ERR",OFFSET(I383,-1,0)),""))</f>
        <v/>
      </c>
      <c r="J383" s="59">
        <f>_xlfn.TEXTJOIN(".",1,B383:I383)</f>
        <v/>
      </c>
      <c r="K383" s="59" t="inlineStr">
        <is>
          <t>Л7</t>
        </is>
      </c>
      <c r="L383" s="60" t="n"/>
      <c r="M383" s="64" t="inlineStr">
        <is>
          <t>Сопутствующие и прочие материалы*</t>
        </is>
      </c>
      <c r="N383" s="59" t="inlineStr">
        <is>
          <t>шт</t>
        </is>
      </c>
      <c r="O383" s="95">
        <f>P383+R383+T383+V383</f>
        <v/>
      </c>
      <c r="P383" s="25" t="n">
        <v>919</v>
      </c>
      <c r="Q383" s="25" t="n"/>
      <c r="R383" s="25" t="n"/>
      <c r="S383" s="25" t="n"/>
      <c r="T383" s="25" t="n"/>
      <c r="U383" s="25" t="n"/>
      <c r="V383" s="25" t="n"/>
      <c r="W383" s="59" t="n"/>
      <c r="X383" s="25" t="n"/>
      <c r="Y383" s="25" t="n"/>
      <c r="Z383" s="25" t="n"/>
      <c r="AA383" s="61" t="n"/>
      <c r="AB383" s="179" t="n"/>
      <c r="AC383" s="190" t="n"/>
      <c r="AD383" s="189">
        <f>SUM(AB383:AC383)</f>
        <v/>
      </c>
      <c r="AE383" s="189">
        <f>AB383*$O383</f>
        <v/>
      </c>
      <c r="AF383" s="189">
        <f>AC383*$O383</f>
        <v/>
      </c>
      <c r="AG383" s="189">
        <f>SUM(AE383:AF383)</f>
        <v/>
      </c>
      <c r="AH383" s="197" t="n"/>
    </row>
    <row r="384" outlineLevel="1">
      <c r="A384" s="18" t="inlineStr">
        <is>
          <t>О</t>
        </is>
      </c>
      <c r="B384" s="11">
        <f>IF($K384=B$8,1+IF(OFFSET(B384,-1,0)="",0,OFFSET(B384,-1,0)),IF(B$8&lt;$K384,IF(OFFSET(B384,-1,0)="","ERR",OFFSET(B384,-1,0)),""))</f>
        <v/>
      </c>
      <c r="C384" s="11">
        <f>IF($K384=C$8,1+IF(OFFSET(C384,-1,0)="",0,OFFSET(C384,-1,0)),IF(C$8&lt;$K384,IF(OFFSET(C384,-1,0)="","ERR",OFFSET(C384,-1,0)),""))</f>
        <v/>
      </c>
      <c r="D384" s="11">
        <f>IF($K384=D$8,1+IF(OFFSET(D384,-1,0)="",0,OFFSET(D384,-1,0)),IF(D$8&lt;$K384,IF(OFFSET(D384,-1,0)="","ERR",OFFSET(D384,-1,0)),""))</f>
        <v/>
      </c>
      <c r="E384" s="11">
        <f>IF($K384=E$8,1+IF(OFFSET(E384,-1,0)="",0,OFFSET(E384,-1,0)),IF(E$8&lt;$K384,IF(OFFSET(E384,-1,0)="","ERR",OFFSET(E384,-1,0)),""))</f>
        <v/>
      </c>
      <c r="F384" s="11">
        <f>IF($K384=F$8,1+IF(OFFSET(F384,-1,0)="",0,OFFSET(F384,-1,0)),IF(F$8&lt;$K384,IF(OFFSET(F384,-1,0)="","ERR",OFFSET(F384,-1,0)),""))</f>
        <v/>
      </c>
      <c r="G384" s="11">
        <f>IF($K384=G$8,1+IF(OFFSET(G384,-1,0)="",0,OFFSET(G384,-1,0)),IF(G$8&lt;$K384,IF(OFFSET(G384,-1,0)="","ERR",OFFSET(G384,-1,0)),""))</f>
        <v/>
      </c>
      <c r="H384" s="11">
        <f>IF($K384=H$8,1+IF(OFFSET(H384,-1,0)="",0,OFFSET(H384,-1,0)),IF(H$8&lt;$K384,IF(OFFSET(H384,-1,0)="","ERR",OFFSET(H384,-1,0)),""))</f>
        <v/>
      </c>
      <c r="I384" s="11">
        <f>IF($K384=I$8,1+IF(OFFSET(I384,-1,0)="",0,OFFSET(I384,-1,0)),IF(I$8&lt;$K384,IF(OFFSET(I384,-1,0)="","ERR",OFFSET(I384,-1,0)),""))</f>
        <v/>
      </c>
      <c r="J384" s="46">
        <f>_xlfn.TEXTJOIN(".",1,B384:I384)</f>
        <v/>
      </c>
      <c r="K384" s="46" t="inlineStr">
        <is>
          <t>Л6</t>
        </is>
      </c>
      <c r="L384" s="46" t="inlineStr">
        <is>
          <t>3.3.3.15.2.8</t>
        </is>
      </c>
      <c r="M384" s="47" t="inlineStr">
        <is>
          <t>Монтаж аксеcсуаров перфорированного/неперфорированного лотка: полка, заглушка и др.</t>
        </is>
      </c>
      <c r="N384" s="46" t="inlineStr">
        <is>
          <t>шт</t>
        </is>
      </c>
      <c r="O384" s="94">
        <f>P384+R384+T384+V384</f>
        <v/>
      </c>
      <c r="P384" s="23" t="n">
        <v>1584</v>
      </c>
      <c r="Q384" s="23" t="n"/>
      <c r="R384" s="23" t="n"/>
      <c r="S384" s="23" t="n"/>
      <c r="T384" s="23" t="n"/>
      <c r="U384" s="23" t="n"/>
      <c r="V384" s="23" t="n"/>
      <c r="W384" s="46" t="n"/>
      <c r="X384" s="23" t="n"/>
      <c r="Y384" s="23" t="n"/>
      <c r="Z384" s="23" t="n"/>
      <c r="AA384" s="48" t="n"/>
      <c r="AB384" s="187" t="n"/>
      <c r="AC384" s="180" t="n"/>
      <c r="AD384" s="189">
        <f>SUM(AB384:AC384)</f>
        <v/>
      </c>
      <c r="AE384" s="189">
        <f>AB384*$O384</f>
        <v/>
      </c>
      <c r="AF384" s="189">
        <f>AC384*$O384</f>
        <v/>
      </c>
      <c r="AG384" s="189">
        <f>SUM(AE384:AF384)</f>
        <v/>
      </c>
      <c r="AH384" s="182" t="n"/>
    </row>
    <row r="385" outlineLevel="1" ht="45" customFormat="1" customHeight="1" s="22">
      <c r="A385" s="20" t="inlineStr">
        <is>
          <t>О</t>
        </is>
      </c>
      <c r="B385" s="21">
        <f>IF($K385=B$8,1+IF(OFFSET(B385,-1,0)="",0,OFFSET(B385,-1,0)),IF(B$8&lt;$K385,IF(OFFSET(B385,-1,0)="","ERR",OFFSET(B385,-1,0)),""))</f>
        <v/>
      </c>
      <c r="C385" s="21">
        <f>IF($K385=C$8,1+IF(OFFSET(C385,-1,0)="",0,OFFSET(C385,-1,0)),IF(C$8&lt;$K385,IF(OFFSET(C385,-1,0)="","ERR",OFFSET(C385,-1,0)),""))</f>
        <v/>
      </c>
      <c r="D385" s="21">
        <f>IF($K385=D$8,1+IF(OFFSET(D385,-1,0)="",0,OFFSET(D385,-1,0)),IF(D$8&lt;$K385,IF(OFFSET(D385,-1,0)="","ERR",OFFSET(D385,-1,0)),""))</f>
        <v/>
      </c>
      <c r="E385" s="21">
        <f>IF($K385=E$8,1+IF(OFFSET(E385,-1,0)="",0,OFFSET(E385,-1,0)),IF(E$8&lt;$K385,IF(OFFSET(E385,-1,0)="","ERR",OFFSET(E385,-1,0)),""))</f>
        <v/>
      </c>
      <c r="F385" s="21">
        <f>IF($K385=F$8,1+IF(OFFSET(F385,-1,0)="",0,OFFSET(F385,-1,0)),IF(F$8&lt;$K385,IF(OFFSET(F385,-1,0)="","ERR",OFFSET(F385,-1,0)),""))</f>
        <v/>
      </c>
      <c r="G385" s="21">
        <f>IF($K385=G$8,1+IF(OFFSET(G385,-1,0)="",0,OFFSET(G385,-1,0)),IF(G$8&lt;$K385,IF(OFFSET(G385,-1,0)="","ERR",OFFSET(G385,-1,0)),""))</f>
        <v/>
      </c>
      <c r="H385" s="21">
        <f>IF($K385=H$8,1+IF(OFFSET(H385,-1,0)="",0,OFFSET(H385,-1,0)),IF(H$8&lt;$K385,IF(OFFSET(H385,-1,0)="","ERR",OFFSET(H385,-1,0)),""))</f>
        <v/>
      </c>
      <c r="I385" s="21">
        <f>IF($K385=I$8,1+IF(OFFSET(I385,-1,0)="",0,OFFSET(I385,-1,0)),IF(I$8&lt;$K385,IF(OFFSET(I385,-1,0)="","ERR",OFFSET(I385,-1,0)),""))</f>
        <v/>
      </c>
      <c r="J385" s="56">
        <f>_xlfn.TEXTJOIN(".",1,B385:I385)</f>
        <v/>
      </c>
      <c r="K385" s="56" t="inlineStr">
        <is>
          <t>Л7</t>
        </is>
      </c>
      <c r="L385" s="57" t="n"/>
      <c r="M385" s="66" t="inlineStr">
        <is>
          <t>Профиль П-образный 100мм, Pp100-2, ООО «Электрорешения»</t>
        </is>
      </c>
      <c r="N385" s="56" t="inlineStr">
        <is>
          <t>шт</t>
        </is>
      </c>
      <c r="O385" s="62">
        <f>P385+R385+T385+V385</f>
        <v/>
      </c>
      <c r="P385" s="24" t="n">
        <v>25</v>
      </c>
      <c r="Q385" s="24" t="n"/>
      <c r="R385" s="24" t="n"/>
      <c r="S385" s="24" t="n"/>
      <c r="T385" s="24" t="n"/>
      <c r="U385" s="24" t="n"/>
      <c r="V385" s="24" t="n"/>
      <c r="W385" s="62" t="n">
        <v>1</v>
      </c>
      <c r="X385" s="26" t="n">
        <v>7721403552</v>
      </c>
      <c r="Y385" s="26" t="n">
        <v>771501001</v>
      </c>
      <c r="Z385" s="26" t="inlineStr">
        <is>
          <t>ООО "Электрорешения"</t>
        </is>
      </c>
      <c r="AA385" s="58" t="inlineStr">
        <is>
          <t>ГТ</t>
        </is>
      </c>
      <c r="AB385" s="191" t="n"/>
      <c r="AC385" s="189" t="n"/>
      <c r="AD385" s="190">
        <f>SUM(AB385:AC385)</f>
        <v/>
      </c>
      <c r="AE385" s="190">
        <f>AB385*$O385*$W385</f>
        <v/>
      </c>
      <c r="AF385" s="190">
        <f>AC385*$O385*$W385</f>
        <v/>
      </c>
      <c r="AG385" s="190">
        <f>SUM(AE385:AF385)</f>
        <v/>
      </c>
      <c r="AH385" s="197" t="n"/>
    </row>
    <row r="386" outlineLevel="1" ht="45" customFormat="1" customHeight="1" s="22">
      <c r="A386" s="20" t="inlineStr">
        <is>
          <t>О</t>
        </is>
      </c>
      <c r="B386" s="21">
        <f>IF($K386=B$8,1+IF(OFFSET(B386,-1,0)="",0,OFFSET(B386,-1,0)),IF(B$8&lt;$K386,IF(OFFSET(B386,-1,0)="","ERR",OFFSET(B386,-1,0)),""))</f>
        <v/>
      </c>
      <c r="C386" s="21">
        <f>IF($K386=C$8,1+IF(OFFSET(C386,-1,0)="",0,OFFSET(C386,-1,0)),IF(C$8&lt;$K386,IF(OFFSET(C386,-1,0)="","ERR",OFFSET(C386,-1,0)),""))</f>
        <v/>
      </c>
      <c r="D386" s="21">
        <f>IF($K386=D$8,1+IF(OFFSET(D386,-1,0)="",0,OFFSET(D386,-1,0)),IF(D$8&lt;$K386,IF(OFFSET(D386,-1,0)="","ERR",OFFSET(D386,-1,0)),""))</f>
        <v/>
      </c>
      <c r="E386" s="21">
        <f>IF($K386=E$8,1+IF(OFFSET(E386,-1,0)="",0,OFFSET(E386,-1,0)),IF(E$8&lt;$K386,IF(OFFSET(E386,-1,0)="","ERR",OFFSET(E386,-1,0)),""))</f>
        <v/>
      </c>
      <c r="F386" s="21">
        <f>IF($K386=F$8,1+IF(OFFSET(F386,-1,0)="",0,OFFSET(F386,-1,0)),IF(F$8&lt;$K386,IF(OFFSET(F386,-1,0)="","ERR",OFFSET(F386,-1,0)),""))</f>
        <v/>
      </c>
      <c r="G386" s="21">
        <f>IF($K386=G$8,1+IF(OFFSET(G386,-1,0)="",0,OFFSET(G386,-1,0)),IF(G$8&lt;$K386,IF(OFFSET(G386,-1,0)="","ERR",OFFSET(G386,-1,0)),""))</f>
        <v/>
      </c>
      <c r="H386" s="21">
        <f>IF($K386=H$8,1+IF(OFFSET(H386,-1,0)="",0,OFFSET(H386,-1,0)),IF(H$8&lt;$K386,IF(OFFSET(H386,-1,0)="","ERR",OFFSET(H386,-1,0)),""))</f>
        <v/>
      </c>
      <c r="I386" s="21">
        <f>IF($K386=I$8,1+IF(OFFSET(I386,-1,0)="",0,OFFSET(I386,-1,0)),IF(I$8&lt;$K386,IF(OFFSET(I386,-1,0)="","ERR",OFFSET(I386,-1,0)),""))</f>
        <v/>
      </c>
      <c r="J386" s="56">
        <f>_xlfn.TEXTJOIN(".",1,B386:I386)</f>
        <v/>
      </c>
      <c r="K386" s="56" t="inlineStr">
        <is>
          <t>Л7</t>
        </is>
      </c>
      <c r="L386" s="57" t="n"/>
      <c r="M386" s="66" t="inlineStr">
        <is>
          <t>Профиль П-образный 200мм, pp200-2, ООО «Электрорешения»</t>
        </is>
      </c>
      <c r="N386" s="56" t="inlineStr">
        <is>
          <t>шт</t>
        </is>
      </c>
      <c r="O386" s="62">
        <f>P386+R386+T386+V386</f>
        <v/>
      </c>
      <c r="P386" s="24" t="n">
        <v>47</v>
      </c>
      <c r="Q386" s="24" t="n"/>
      <c r="R386" s="24" t="n"/>
      <c r="S386" s="24" t="n"/>
      <c r="T386" s="24" t="n"/>
      <c r="U386" s="24" t="n"/>
      <c r="V386" s="24" t="n"/>
      <c r="W386" s="62" t="n">
        <v>1</v>
      </c>
      <c r="X386" s="26" t="n">
        <v>7721403552</v>
      </c>
      <c r="Y386" s="26" t="n">
        <v>771501001</v>
      </c>
      <c r="Z386" s="26" t="inlineStr">
        <is>
          <t>ООО "Электрорешения"</t>
        </is>
      </c>
      <c r="AA386" s="58" t="inlineStr">
        <is>
          <t>ГТ</t>
        </is>
      </c>
      <c r="AB386" s="191" t="n"/>
      <c r="AC386" s="189" t="n"/>
      <c r="AD386" s="190">
        <f>SUM(AB386:AC386)</f>
        <v/>
      </c>
      <c r="AE386" s="190">
        <f>AB386*$O386*$W386</f>
        <v/>
      </c>
      <c r="AF386" s="190">
        <f>AC386*$O386*$W386</f>
        <v/>
      </c>
      <c r="AG386" s="190">
        <f>SUM(AE386:AF386)</f>
        <v/>
      </c>
      <c r="AH386" s="197" t="n"/>
    </row>
    <row r="387" outlineLevel="1" ht="45" customFormat="1" customHeight="1" s="22">
      <c r="A387" s="20" t="inlineStr">
        <is>
          <t>О</t>
        </is>
      </c>
      <c r="B387" s="21">
        <f>IF($K387=B$8,1+IF(OFFSET(B387,-1,0)="",0,OFFSET(B387,-1,0)),IF(B$8&lt;$K387,IF(OFFSET(B387,-1,0)="","ERR",OFFSET(B387,-1,0)),""))</f>
        <v/>
      </c>
      <c r="C387" s="21">
        <f>IF($K387=C$8,1+IF(OFFSET(C387,-1,0)="",0,OFFSET(C387,-1,0)),IF(C$8&lt;$K387,IF(OFFSET(C387,-1,0)="","ERR",OFFSET(C387,-1,0)),""))</f>
        <v/>
      </c>
      <c r="D387" s="21">
        <f>IF($K387=D$8,1+IF(OFFSET(D387,-1,0)="",0,OFFSET(D387,-1,0)),IF(D$8&lt;$K387,IF(OFFSET(D387,-1,0)="","ERR",OFFSET(D387,-1,0)),""))</f>
        <v/>
      </c>
      <c r="E387" s="21">
        <f>IF($K387=E$8,1+IF(OFFSET(E387,-1,0)="",0,OFFSET(E387,-1,0)),IF(E$8&lt;$K387,IF(OFFSET(E387,-1,0)="","ERR",OFFSET(E387,-1,0)),""))</f>
        <v/>
      </c>
      <c r="F387" s="21">
        <f>IF($K387=F$8,1+IF(OFFSET(F387,-1,0)="",0,OFFSET(F387,-1,0)),IF(F$8&lt;$K387,IF(OFFSET(F387,-1,0)="","ERR",OFFSET(F387,-1,0)),""))</f>
        <v/>
      </c>
      <c r="G387" s="21">
        <f>IF($K387=G$8,1+IF(OFFSET(G387,-1,0)="",0,OFFSET(G387,-1,0)),IF(G$8&lt;$K387,IF(OFFSET(G387,-1,0)="","ERR",OFFSET(G387,-1,0)),""))</f>
        <v/>
      </c>
      <c r="H387" s="21">
        <f>IF($K387=H$8,1+IF(OFFSET(H387,-1,0)="",0,OFFSET(H387,-1,0)),IF(H$8&lt;$K387,IF(OFFSET(H387,-1,0)="","ERR",OFFSET(H387,-1,0)),""))</f>
        <v/>
      </c>
      <c r="I387" s="21">
        <f>IF($K387=I$8,1+IF(OFFSET(I387,-1,0)="",0,OFFSET(I387,-1,0)),IF(I$8&lt;$K387,IF(OFFSET(I387,-1,0)="","ERR",OFFSET(I387,-1,0)),""))</f>
        <v/>
      </c>
      <c r="J387" s="56">
        <f>_xlfn.TEXTJOIN(".",1,B387:I387)</f>
        <v/>
      </c>
      <c r="K387" s="56" t="inlineStr">
        <is>
          <t>Л7</t>
        </is>
      </c>
      <c r="L387" s="57" t="n"/>
      <c r="M387" s="66" t="inlineStr">
        <is>
          <t>Профиль П-образный 300мм, Pp300-2, ООО «Электрорешения»</t>
        </is>
      </c>
      <c r="N387" s="56" t="inlineStr">
        <is>
          <t>шт</t>
        </is>
      </c>
      <c r="O387" s="62">
        <f>P387+R387+T387+V387</f>
        <v/>
      </c>
      <c r="P387" s="24" t="n">
        <v>1512</v>
      </c>
      <c r="Q387" s="24" t="n"/>
      <c r="R387" s="24" t="n"/>
      <c r="S387" s="24" t="n"/>
      <c r="T387" s="24" t="n"/>
      <c r="U387" s="24" t="n"/>
      <c r="V387" s="24" t="n"/>
      <c r="W387" s="62" t="n">
        <v>1</v>
      </c>
      <c r="X387" s="26" t="n">
        <v>7721403552</v>
      </c>
      <c r="Y387" s="26" t="n">
        <v>771501001</v>
      </c>
      <c r="Z387" s="26" t="inlineStr">
        <is>
          <t>ООО "Электрорешения"</t>
        </is>
      </c>
      <c r="AA387" s="58" t="inlineStr">
        <is>
          <t>ГТ</t>
        </is>
      </c>
      <c r="AB387" s="191" t="n"/>
      <c r="AC387" s="189" t="n"/>
      <c r="AD387" s="190">
        <f>SUM(AB387:AC387)</f>
        <v/>
      </c>
      <c r="AE387" s="190">
        <f>AB387*$O387*$W387</f>
        <v/>
      </c>
      <c r="AF387" s="190">
        <f>AC387*$O387*$W387</f>
        <v/>
      </c>
      <c r="AG387" s="190">
        <f>SUM(AE387:AF387)</f>
        <v/>
      </c>
      <c r="AH387" s="197" t="n"/>
    </row>
    <row r="388" outlineLevel="1" customFormat="1" s="22">
      <c r="A388" s="20" t="inlineStr">
        <is>
          <t>О</t>
        </is>
      </c>
      <c r="B388" s="21">
        <f>IF($K388=B$8,1+IF(OFFSET(B388,-1,0)="",0,OFFSET(B388,-1,0)),IF(B$8&lt;$K388,IF(OFFSET(B388,-1,0)="","ERR",OFFSET(B388,-1,0)),""))</f>
        <v/>
      </c>
      <c r="C388" s="21">
        <f>IF($K388=C$8,1+IF(OFFSET(C388,-1,0)="",0,OFFSET(C388,-1,0)),IF(C$8&lt;$K388,IF(OFFSET(C388,-1,0)="","ERR",OFFSET(C388,-1,0)),""))</f>
        <v/>
      </c>
      <c r="D388" s="21">
        <f>IF($K388=D$8,1+IF(OFFSET(D388,-1,0)="",0,OFFSET(D388,-1,0)),IF(D$8&lt;$K388,IF(OFFSET(D388,-1,0)="","ERR",OFFSET(D388,-1,0)),""))</f>
        <v/>
      </c>
      <c r="E388" s="21">
        <f>IF($K388=E$8,1+IF(OFFSET(E388,-1,0)="",0,OFFSET(E388,-1,0)),IF(E$8&lt;$K388,IF(OFFSET(E388,-1,0)="","ERR",OFFSET(E388,-1,0)),""))</f>
        <v/>
      </c>
      <c r="F388" s="21">
        <f>IF($K388=F$8,1+IF(OFFSET(F388,-1,0)="",0,OFFSET(F388,-1,0)),IF(F$8&lt;$K388,IF(OFFSET(F388,-1,0)="","ERR",OFFSET(F388,-1,0)),""))</f>
        <v/>
      </c>
      <c r="G388" s="21">
        <f>IF($K388=G$8,1+IF(OFFSET(G388,-1,0)="",0,OFFSET(G388,-1,0)),IF(G$8&lt;$K388,IF(OFFSET(G388,-1,0)="","ERR",OFFSET(G388,-1,0)),""))</f>
        <v/>
      </c>
      <c r="H388" s="21">
        <f>IF($K388=H$8,1+IF(OFFSET(H388,-1,0)="",0,OFFSET(H388,-1,0)),IF(H$8&lt;$K388,IF(OFFSET(H388,-1,0)="","ERR",OFFSET(H388,-1,0)),""))</f>
        <v/>
      </c>
      <c r="I388" s="21">
        <f>IF($K388=I$8,1+IF(OFFSET(I388,-1,0)="",0,OFFSET(I388,-1,0)),IF(I$8&lt;$K388,IF(OFFSET(I388,-1,0)="","ERR",OFFSET(I388,-1,0)),""))</f>
        <v/>
      </c>
      <c r="J388" s="59">
        <f>_xlfn.TEXTJOIN(".",1,B388:I388)</f>
        <v/>
      </c>
      <c r="K388" s="59" t="inlineStr">
        <is>
          <t>Л7</t>
        </is>
      </c>
      <c r="L388" s="60" t="n"/>
      <c r="M388" s="64" t="inlineStr">
        <is>
          <t>Сопутствующие и прочие материалы*</t>
        </is>
      </c>
      <c r="N388" s="59" t="inlineStr">
        <is>
          <t>шт</t>
        </is>
      </c>
      <c r="O388" s="95">
        <f>P388+R388+T388+V388</f>
        <v/>
      </c>
      <c r="P388" s="25" t="n">
        <v>1584</v>
      </c>
      <c r="Q388" s="25" t="n"/>
      <c r="R388" s="25" t="n"/>
      <c r="S388" s="25" t="n"/>
      <c r="T388" s="25" t="n"/>
      <c r="U388" s="25" t="n"/>
      <c r="V388" s="25" t="n"/>
      <c r="W388" s="59" t="n"/>
      <c r="X388" s="25" t="n"/>
      <c r="Y388" s="25" t="n"/>
      <c r="Z388" s="25" t="n"/>
      <c r="AA388" s="61" t="n"/>
      <c r="AB388" s="179" t="n"/>
      <c r="AC388" s="190" t="n"/>
      <c r="AD388" s="189">
        <f>SUM(AB388:AC388)</f>
        <v/>
      </c>
      <c r="AE388" s="189">
        <f>AB388*$O388</f>
        <v/>
      </c>
      <c r="AF388" s="189">
        <f>AC388*$O388</f>
        <v/>
      </c>
      <c r="AG388" s="189">
        <f>SUM(AE388:AF388)</f>
        <v/>
      </c>
      <c r="AH388" s="197" t="n"/>
    </row>
    <row r="389" outlineLevel="1">
      <c r="A389" s="18" t="inlineStr">
        <is>
          <t>О</t>
        </is>
      </c>
      <c r="B389" s="11">
        <f>IF($K389=B$8,1+IF(OFFSET(B389,-1,0)="",0,OFFSET(B389,-1,0)),IF(B$8&lt;$K389,IF(OFFSET(B389,-1,0)="","ERR",OFFSET(B389,-1,0)),""))</f>
        <v/>
      </c>
      <c r="C389" s="11">
        <f>IF($K389=C$8,1+IF(OFFSET(C389,-1,0)="",0,OFFSET(C389,-1,0)),IF(C$8&lt;$K389,IF(OFFSET(C389,-1,0)="","ERR",OFFSET(C389,-1,0)),""))</f>
        <v/>
      </c>
      <c r="D389" s="11">
        <f>IF($K389=D$8,1+IF(OFFSET(D389,-1,0)="",0,OFFSET(D389,-1,0)),IF(D$8&lt;$K389,IF(OFFSET(D389,-1,0)="","ERR",OFFSET(D389,-1,0)),""))</f>
        <v/>
      </c>
      <c r="E389" s="11">
        <f>IF($K389=E$8,1+IF(OFFSET(E389,-1,0)="",0,OFFSET(E389,-1,0)),IF(E$8&lt;$K389,IF(OFFSET(E389,-1,0)="","ERR",OFFSET(E389,-1,0)),""))</f>
        <v/>
      </c>
      <c r="F389" s="11">
        <f>IF($K389=F$8,1+IF(OFFSET(F389,-1,0)="",0,OFFSET(F389,-1,0)),IF(F$8&lt;$K389,IF(OFFSET(F389,-1,0)="","ERR",OFFSET(F389,-1,0)),""))</f>
        <v/>
      </c>
      <c r="G389" s="11">
        <f>IF($K389=G$8,1+IF(OFFSET(G389,-1,0)="",0,OFFSET(G389,-1,0)),IF(G$8&lt;$K389,IF(OFFSET(G389,-1,0)="","ERR",OFFSET(G389,-1,0)),""))</f>
        <v/>
      </c>
      <c r="H389" s="11">
        <f>IF($K389=H$8,1+IF(OFFSET(H389,-1,0)="",0,OFFSET(H389,-1,0)),IF(H$8&lt;$K389,IF(OFFSET(H389,-1,0)="","ERR",OFFSET(H389,-1,0)),""))</f>
        <v/>
      </c>
      <c r="I389" s="11">
        <f>IF($K389=I$8,1+IF(OFFSET(I389,-1,0)="",0,OFFSET(I389,-1,0)),IF(I$8&lt;$K389,IF(OFFSET(I389,-1,0)="","ERR",OFFSET(I389,-1,0)),""))</f>
        <v/>
      </c>
      <c r="J389" s="46">
        <f>_xlfn.TEXTJOIN(".",1,B389:I389)</f>
        <v/>
      </c>
      <c r="K389" s="46" t="inlineStr">
        <is>
          <t>Л6</t>
        </is>
      </c>
      <c r="L389" s="46" t="inlineStr">
        <is>
          <t>3.3.3.15.2.9</t>
        </is>
      </c>
      <c r="M389" s="47" t="inlineStr">
        <is>
          <t>Монтаж аксеcсуаров перфорированного/неперфорированного лотка: перегородка</t>
        </is>
      </c>
      <c r="N389" s="46" t="inlineStr">
        <is>
          <t>пог. м</t>
        </is>
      </c>
      <c r="O389" s="94">
        <f>P389+R389+T389+V389</f>
        <v/>
      </c>
      <c r="P389" s="23" t="n">
        <v>2127</v>
      </c>
      <c r="Q389" s="23" t="n"/>
      <c r="R389" s="23" t="n"/>
      <c r="S389" s="23" t="n"/>
      <c r="T389" s="23" t="n"/>
      <c r="U389" s="23" t="n"/>
      <c r="V389" s="23" t="n"/>
      <c r="W389" s="46" t="n"/>
      <c r="X389" s="23" t="n"/>
      <c r="Y389" s="23" t="n"/>
      <c r="Z389" s="23" t="n"/>
      <c r="AA389" s="48" t="n"/>
      <c r="AB389" s="187" t="n"/>
      <c r="AC389" s="180" t="n"/>
      <c r="AD389" s="189">
        <f>SUM(AB389:AC389)</f>
        <v/>
      </c>
      <c r="AE389" s="189">
        <f>AB389*$O389</f>
        <v/>
      </c>
      <c r="AF389" s="189">
        <f>AC389*$O389</f>
        <v/>
      </c>
      <c r="AG389" s="189">
        <f>SUM(AE389:AF389)</f>
        <v/>
      </c>
      <c r="AH389" s="182" t="n"/>
    </row>
    <row r="390" outlineLevel="1" ht="45" customFormat="1" customHeight="1" s="22">
      <c r="A390" s="20" t="inlineStr">
        <is>
          <t>О</t>
        </is>
      </c>
      <c r="B390" s="21">
        <f>IF($K390=B$8,1+IF(OFFSET(B390,-1,0)="",0,OFFSET(B390,-1,0)),IF(B$8&lt;$K390,IF(OFFSET(B390,-1,0)="","ERR",OFFSET(B390,-1,0)),""))</f>
        <v/>
      </c>
      <c r="C390" s="21">
        <f>IF($K390=C$8,1+IF(OFFSET(C390,-1,0)="",0,OFFSET(C390,-1,0)),IF(C$8&lt;$K390,IF(OFFSET(C390,-1,0)="","ERR",OFFSET(C390,-1,0)),""))</f>
        <v/>
      </c>
      <c r="D390" s="21">
        <f>IF($K390=D$8,1+IF(OFFSET(D390,-1,0)="",0,OFFSET(D390,-1,0)),IF(D$8&lt;$K390,IF(OFFSET(D390,-1,0)="","ERR",OFFSET(D390,-1,0)),""))</f>
        <v/>
      </c>
      <c r="E390" s="21">
        <f>IF($K390=E$8,1+IF(OFFSET(E390,-1,0)="",0,OFFSET(E390,-1,0)),IF(E$8&lt;$K390,IF(OFFSET(E390,-1,0)="","ERR",OFFSET(E390,-1,0)),""))</f>
        <v/>
      </c>
      <c r="F390" s="21">
        <f>IF($K390=F$8,1+IF(OFFSET(F390,-1,0)="",0,OFFSET(F390,-1,0)),IF(F$8&lt;$K390,IF(OFFSET(F390,-1,0)="","ERR",OFFSET(F390,-1,0)),""))</f>
        <v/>
      </c>
      <c r="G390" s="21">
        <f>IF($K390=G$8,1+IF(OFFSET(G390,-1,0)="",0,OFFSET(G390,-1,0)),IF(G$8&lt;$K390,IF(OFFSET(G390,-1,0)="","ERR",OFFSET(G390,-1,0)),""))</f>
        <v/>
      </c>
      <c r="H390" s="21">
        <f>IF($K390=H$8,1+IF(OFFSET(H390,-1,0)="",0,OFFSET(H390,-1,0)),IF(H$8&lt;$K390,IF(OFFSET(H390,-1,0)="","ERR",OFFSET(H390,-1,0)),""))</f>
        <v/>
      </c>
      <c r="I390" s="21">
        <f>IF($K390=I$8,1+IF(OFFSET(I390,-1,0)="",0,OFFSET(I390,-1,0)),IF(I$8&lt;$K390,IF(OFFSET(I390,-1,0)="","ERR",OFFSET(I390,-1,0)),""))</f>
        <v/>
      </c>
      <c r="J390" s="56">
        <f>_xlfn.TEXTJOIN(".",1,B390:I390)</f>
        <v/>
      </c>
      <c r="K390" s="56" t="inlineStr">
        <is>
          <t>Л7</t>
        </is>
      </c>
      <c r="L390" s="57" t="n"/>
      <c r="M390" s="66" t="inlineStr">
        <is>
          <t>Перегородка разделительная h=50 мм, p5007, ООО «Электрорешения»</t>
        </is>
      </c>
      <c r="N390" s="56" t="inlineStr">
        <is>
          <t>пог. м</t>
        </is>
      </c>
      <c r="O390" s="62">
        <f>P390+R390+T390+V390</f>
        <v/>
      </c>
      <c r="P390" s="24" t="n">
        <v>2127</v>
      </c>
      <c r="Q390" s="24" t="n"/>
      <c r="R390" s="24" t="n"/>
      <c r="S390" s="24" t="n"/>
      <c r="T390" s="24" t="n"/>
      <c r="U390" s="24" t="n"/>
      <c r="V390" s="24" t="n"/>
      <c r="W390" s="62" t="n">
        <v>1</v>
      </c>
      <c r="X390" s="26" t="n">
        <v>7721403552</v>
      </c>
      <c r="Y390" s="26" t="n">
        <v>771501001</v>
      </c>
      <c r="Z390" s="26" t="inlineStr">
        <is>
          <t>ООО "Электрорешения"</t>
        </is>
      </c>
      <c r="AA390" s="58" t="inlineStr">
        <is>
          <t>ГТ</t>
        </is>
      </c>
      <c r="AB390" s="191" t="n"/>
      <c r="AC390" s="189" t="n"/>
      <c r="AD390" s="190">
        <f>SUM(AB390:AC390)</f>
        <v/>
      </c>
      <c r="AE390" s="190">
        <f>AB390*$O390*$W390</f>
        <v/>
      </c>
      <c r="AF390" s="190">
        <f>AC390*$O390*$W390</f>
        <v/>
      </c>
      <c r="AG390" s="190">
        <f>SUM(AE390:AF390)</f>
        <v/>
      </c>
      <c r="AH390" s="197" t="n"/>
    </row>
    <row r="391" outlineLevel="1" customFormat="1" s="22">
      <c r="A391" s="20" t="inlineStr">
        <is>
          <t>О</t>
        </is>
      </c>
      <c r="B391" s="21">
        <f>IF($K391=B$8,1+IF(OFFSET(B391,-1,0)="",0,OFFSET(B391,-1,0)),IF(B$8&lt;$K391,IF(OFFSET(B391,-1,0)="","ERR",OFFSET(B391,-1,0)),""))</f>
        <v/>
      </c>
      <c r="C391" s="21">
        <f>IF($K391=C$8,1+IF(OFFSET(C391,-1,0)="",0,OFFSET(C391,-1,0)),IF(C$8&lt;$K391,IF(OFFSET(C391,-1,0)="","ERR",OFFSET(C391,-1,0)),""))</f>
        <v/>
      </c>
      <c r="D391" s="21">
        <f>IF($K391=D$8,1+IF(OFFSET(D391,-1,0)="",0,OFFSET(D391,-1,0)),IF(D$8&lt;$K391,IF(OFFSET(D391,-1,0)="","ERR",OFFSET(D391,-1,0)),""))</f>
        <v/>
      </c>
      <c r="E391" s="21">
        <f>IF($K391=E$8,1+IF(OFFSET(E391,-1,0)="",0,OFFSET(E391,-1,0)),IF(E$8&lt;$K391,IF(OFFSET(E391,-1,0)="","ERR",OFFSET(E391,-1,0)),""))</f>
        <v/>
      </c>
      <c r="F391" s="21">
        <f>IF($K391=F$8,1+IF(OFFSET(F391,-1,0)="",0,OFFSET(F391,-1,0)),IF(F$8&lt;$K391,IF(OFFSET(F391,-1,0)="","ERR",OFFSET(F391,-1,0)),""))</f>
        <v/>
      </c>
      <c r="G391" s="21">
        <f>IF($K391=G$8,1+IF(OFFSET(G391,-1,0)="",0,OFFSET(G391,-1,0)),IF(G$8&lt;$K391,IF(OFFSET(G391,-1,0)="","ERR",OFFSET(G391,-1,0)),""))</f>
        <v/>
      </c>
      <c r="H391" s="21">
        <f>IF($K391=H$8,1+IF(OFFSET(H391,-1,0)="",0,OFFSET(H391,-1,0)),IF(H$8&lt;$K391,IF(OFFSET(H391,-1,0)="","ERR",OFFSET(H391,-1,0)),""))</f>
        <v/>
      </c>
      <c r="I391" s="21">
        <f>IF($K391=I$8,1+IF(OFFSET(I391,-1,0)="",0,OFFSET(I391,-1,0)),IF(I$8&lt;$K391,IF(OFFSET(I391,-1,0)="","ERR",OFFSET(I391,-1,0)),""))</f>
        <v/>
      </c>
      <c r="J391" s="59">
        <f>_xlfn.TEXTJOIN(".",1,B391:I391)</f>
        <v/>
      </c>
      <c r="K391" s="59" t="inlineStr">
        <is>
          <t>Л7</t>
        </is>
      </c>
      <c r="L391" s="60" t="n"/>
      <c r="M391" s="64" t="inlineStr">
        <is>
          <t>Сопутствующие и прочие материалы*</t>
        </is>
      </c>
      <c r="N391" s="59" t="inlineStr">
        <is>
          <t>пог. м</t>
        </is>
      </c>
      <c r="O391" s="95">
        <f>P391+R391+T391+V391</f>
        <v/>
      </c>
      <c r="P391" s="25" t="n">
        <v>2127</v>
      </c>
      <c r="Q391" s="25" t="n"/>
      <c r="R391" s="25" t="n"/>
      <c r="S391" s="25" t="n"/>
      <c r="T391" s="25" t="n"/>
      <c r="U391" s="25" t="n"/>
      <c r="V391" s="25" t="n"/>
      <c r="W391" s="59" t="n"/>
      <c r="X391" s="25" t="n"/>
      <c r="Y391" s="25" t="n"/>
      <c r="Z391" s="25" t="n"/>
      <c r="AA391" s="61" t="n"/>
      <c r="AB391" s="179" t="n"/>
      <c r="AC391" s="190" t="n"/>
      <c r="AD391" s="189">
        <f>SUM(AB391:AC391)</f>
        <v/>
      </c>
      <c r="AE391" s="189">
        <f>AB391*$O391</f>
        <v/>
      </c>
      <c r="AF391" s="189">
        <f>AC391*$O391</f>
        <v/>
      </c>
      <c r="AG391" s="189">
        <f>SUM(AE391:AF391)</f>
        <v/>
      </c>
      <c r="AH391" s="197" t="n"/>
    </row>
    <row r="392" outlineLevel="1">
      <c r="A392" s="18" t="inlineStr">
        <is>
          <t>О</t>
        </is>
      </c>
      <c r="B392" s="11">
        <f>IF($K392=B$8,1+IF(OFFSET(B392,-1,0)="",0,OFFSET(B392,-1,0)),IF(B$8&lt;$K392,IF(OFFSET(B392,-1,0)="","ERR",OFFSET(B392,-1,0)),""))</f>
        <v/>
      </c>
      <c r="C392" s="11">
        <f>IF($K392=C$8,1+IF(OFFSET(C392,-1,0)="",0,OFFSET(C392,-1,0)),IF(C$8&lt;$K392,IF(OFFSET(C392,-1,0)="","ERR",OFFSET(C392,-1,0)),""))</f>
        <v/>
      </c>
      <c r="D392" s="11">
        <f>IF($K392=D$8,1+IF(OFFSET(D392,-1,0)="",0,OFFSET(D392,-1,0)),IF(D$8&lt;$K392,IF(OFFSET(D392,-1,0)="","ERR",OFFSET(D392,-1,0)),""))</f>
        <v/>
      </c>
      <c r="E392" s="11">
        <f>IF($K392=E$8,1+IF(OFFSET(E392,-1,0)="",0,OFFSET(E392,-1,0)),IF(E$8&lt;$K392,IF(OFFSET(E392,-1,0)="","ERR",OFFSET(E392,-1,0)),""))</f>
        <v/>
      </c>
      <c r="F392" s="11">
        <f>IF($K392=F$8,1+IF(OFFSET(F392,-1,0)="",0,OFFSET(F392,-1,0)),IF(F$8&lt;$K392,IF(OFFSET(F392,-1,0)="","ERR",OFFSET(F392,-1,0)),""))</f>
        <v/>
      </c>
      <c r="G392" s="11">
        <f>IF($K392=G$8,1+IF(OFFSET(G392,-1,0)="",0,OFFSET(G392,-1,0)),IF(G$8&lt;$K392,IF(OFFSET(G392,-1,0)="","ERR",OFFSET(G392,-1,0)),""))</f>
        <v/>
      </c>
      <c r="H392" s="11">
        <f>IF($K392=H$8,1+IF(OFFSET(H392,-1,0)="",0,OFFSET(H392,-1,0)),IF(H$8&lt;$K392,IF(OFFSET(H392,-1,0)="","ERR",OFFSET(H392,-1,0)),""))</f>
        <v/>
      </c>
      <c r="I392" s="11">
        <f>IF($K392=I$8,1+IF(OFFSET(I392,-1,0)="",0,OFFSET(I392,-1,0)),IF(I$8&lt;$K392,IF(OFFSET(I392,-1,0)="","ERR",OFFSET(I392,-1,0)),""))</f>
        <v/>
      </c>
      <c r="J392" s="46">
        <f>_xlfn.TEXTJOIN(".",1,B392:I392)</f>
        <v/>
      </c>
      <c r="K392" s="46" t="inlineStr">
        <is>
          <t>Л6</t>
        </is>
      </c>
      <c r="L392" s="46" t="inlineStr">
        <is>
          <t>3.3.3.15.2.10</t>
        </is>
      </c>
      <c r="M392" s="47" t="inlineStr">
        <is>
          <t>Монтаж крышки перфорированного/неперфорированного лотка</t>
        </is>
      </c>
      <c r="N392" s="46" t="inlineStr">
        <is>
          <t>пог. м</t>
        </is>
      </c>
      <c r="O392" s="94">
        <f>P392+R392+T392+V392</f>
        <v/>
      </c>
      <c r="P392" s="23" t="n">
        <v>928.7</v>
      </c>
      <c r="Q392" s="23" t="n"/>
      <c r="R392" s="23" t="n"/>
      <c r="S392" s="23" t="n"/>
      <c r="T392" s="23" t="n"/>
      <c r="U392" s="23" t="n"/>
      <c r="V392" s="23" t="n"/>
      <c r="W392" s="46" t="n"/>
      <c r="X392" s="23" t="n"/>
      <c r="Y392" s="23" t="n"/>
      <c r="Z392" s="23" t="n"/>
      <c r="AA392" s="48" t="n"/>
      <c r="AB392" s="187" t="n"/>
      <c r="AC392" s="180" t="n"/>
      <c r="AD392" s="189">
        <f>SUM(AB392:AC392)</f>
        <v/>
      </c>
      <c r="AE392" s="189">
        <f>AB392*$O392</f>
        <v/>
      </c>
      <c r="AF392" s="189">
        <f>AC392*$O392</f>
        <v/>
      </c>
      <c r="AG392" s="189">
        <f>SUM(AE392:AF392)</f>
        <v/>
      </c>
      <c r="AH392" s="182" t="n"/>
    </row>
    <row r="393" outlineLevel="1" ht="45" customFormat="1" customHeight="1" s="22">
      <c r="A393" s="20" t="inlineStr">
        <is>
          <t>О</t>
        </is>
      </c>
      <c r="B393" s="21">
        <f>IF($K393=B$8,1+IF(OFFSET(B393,-1,0)="",0,OFFSET(B393,-1,0)),IF(B$8&lt;$K393,IF(OFFSET(B393,-1,0)="","ERR",OFFSET(B393,-1,0)),""))</f>
        <v/>
      </c>
      <c r="C393" s="21">
        <f>IF($K393=C$8,1+IF(OFFSET(C393,-1,0)="",0,OFFSET(C393,-1,0)),IF(C$8&lt;$K393,IF(OFFSET(C393,-1,0)="","ERR",OFFSET(C393,-1,0)),""))</f>
        <v/>
      </c>
      <c r="D393" s="21">
        <f>IF($K393=D$8,1+IF(OFFSET(D393,-1,0)="",0,OFFSET(D393,-1,0)),IF(D$8&lt;$K393,IF(OFFSET(D393,-1,0)="","ERR",OFFSET(D393,-1,0)),""))</f>
        <v/>
      </c>
      <c r="E393" s="21">
        <f>IF($K393=E$8,1+IF(OFFSET(E393,-1,0)="",0,OFFSET(E393,-1,0)),IF(E$8&lt;$K393,IF(OFFSET(E393,-1,0)="","ERR",OFFSET(E393,-1,0)),""))</f>
        <v/>
      </c>
      <c r="F393" s="21">
        <f>IF($K393=F$8,1+IF(OFFSET(F393,-1,0)="",0,OFFSET(F393,-1,0)),IF(F$8&lt;$K393,IF(OFFSET(F393,-1,0)="","ERR",OFFSET(F393,-1,0)),""))</f>
        <v/>
      </c>
      <c r="G393" s="21">
        <f>IF($K393=G$8,1+IF(OFFSET(G393,-1,0)="",0,OFFSET(G393,-1,0)),IF(G$8&lt;$K393,IF(OFFSET(G393,-1,0)="","ERR",OFFSET(G393,-1,0)),""))</f>
        <v/>
      </c>
      <c r="H393" s="21">
        <f>IF($K393=H$8,1+IF(OFFSET(H393,-1,0)="",0,OFFSET(H393,-1,0)),IF(H$8&lt;$K393,IF(OFFSET(H393,-1,0)="","ERR",OFFSET(H393,-1,0)),""))</f>
        <v/>
      </c>
      <c r="I393" s="21">
        <f>IF($K393=I$8,1+IF(OFFSET(I393,-1,0)="",0,OFFSET(I393,-1,0)),IF(I$8&lt;$K393,IF(OFFSET(I393,-1,0)="","ERR",OFFSET(I393,-1,0)),""))</f>
        <v/>
      </c>
      <c r="J393" s="56">
        <f>_xlfn.TEXTJOIN(".",1,B393:I393)</f>
        <v/>
      </c>
      <c r="K393" s="56" t="inlineStr">
        <is>
          <t>Л7</t>
        </is>
      </c>
      <c r="L393" s="57" t="n"/>
      <c r="M393" s="66" t="inlineStr">
        <is>
          <t>Крышка на лоток осн.50 L3000-1,0мм, K5010-1, ООО «Электрорешения»</t>
        </is>
      </c>
      <c r="N393" s="56" t="inlineStr">
        <is>
          <t>пог. м</t>
        </is>
      </c>
      <c r="O393" s="62">
        <f>P393+R393+T393+V393</f>
        <v/>
      </c>
      <c r="P393" s="24" t="n">
        <v>245.4</v>
      </c>
      <c r="Q393" s="24" t="n"/>
      <c r="R393" s="24" t="n"/>
      <c r="S393" s="24" t="n"/>
      <c r="T393" s="24" t="n"/>
      <c r="U393" s="24" t="n"/>
      <c r="V393" s="24" t="n"/>
      <c r="W393" s="62" t="n">
        <v>1.03</v>
      </c>
      <c r="X393" s="26" t="n">
        <v>7721403552</v>
      </c>
      <c r="Y393" s="26" t="n">
        <v>771501001</v>
      </c>
      <c r="Z393" s="26" t="inlineStr">
        <is>
          <t>ООО "Электрорешения"</t>
        </is>
      </c>
      <c r="AA393" s="58" t="inlineStr">
        <is>
          <t>ГТ</t>
        </is>
      </c>
      <c r="AB393" s="191" t="n"/>
      <c r="AC393" s="189" t="n"/>
      <c r="AD393" s="190">
        <f>SUM(AB393:AC393)</f>
        <v/>
      </c>
      <c r="AE393" s="190">
        <f>AB393*$O393*$W393</f>
        <v/>
      </c>
      <c r="AF393" s="190">
        <f>AC393*$O393*$W393</f>
        <v/>
      </c>
      <c r="AG393" s="190">
        <f>SUM(AE393:AF393)</f>
        <v/>
      </c>
      <c r="AH393" s="197" t="n"/>
    </row>
    <row r="394" outlineLevel="1" ht="45" customFormat="1" customHeight="1" s="22">
      <c r="A394" s="20" t="inlineStr">
        <is>
          <t>О</t>
        </is>
      </c>
      <c r="B394" s="21">
        <f>IF($K394=B$8,1+IF(OFFSET(B394,-1,0)="",0,OFFSET(B394,-1,0)),IF(B$8&lt;$K394,IF(OFFSET(B394,-1,0)="","ERR",OFFSET(B394,-1,0)),""))</f>
        <v/>
      </c>
      <c r="C394" s="21">
        <f>IF($K394=C$8,1+IF(OFFSET(C394,-1,0)="",0,OFFSET(C394,-1,0)),IF(C$8&lt;$K394,IF(OFFSET(C394,-1,0)="","ERR",OFFSET(C394,-1,0)),""))</f>
        <v/>
      </c>
      <c r="D394" s="21">
        <f>IF($K394=D$8,1+IF(OFFSET(D394,-1,0)="",0,OFFSET(D394,-1,0)),IF(D$8&lt;$K394,IF(OFFSET(D394,-1,0)="","ERR",OFFSET(D394,-1,0)),""))</f>
        <v/>
      </c>
      <c r="E394" s="21">
        <f>IF($K394=E$8,1+IF(OFFSET(E394,-1,0)="",0,OFFSET(E394,-1,0)),IF(E$8&lt;$K394,IF(OFFSET(E394,-1,0)="","ERR",OFFSET(E394,-1,0)),""))</f>
        <v/>
      </c>
      <c r="F394" s="21">
        <f>IF($K394=F$8,1+IF(OFFSET(F394,-1,0)="",0,OFFSET(F394,-1,0)),IF(F$8&lt;$K394,IF(OFFSET(F394,-1,0)="","ERR",OFFSET(F394,-1,0)),""))</f>
        <v/>
      </c>
      <c r="G394" s="21">
        <f>IF($K394=G$8,1+IF(OFFSET(G394,-1,0)="",0,OFFSET(G394,-1,0)),IF(G$8&lt;$K394,IF(OFFSET(G394,-1,0)="","ERR",OFFSET(G394,-1,0)),""))</f>
        <v/>
      </c>
      <c r="H394" s="21">
        <f>IF($K394=H$8,1+IF(OFFSET(H394,-1,0)="",0,OFFSET(H394,-1,0)),IF(H$8&lt;$K394,IF(OFFSET(H394,-1,0)="","ERR",OFFSET(H394,-1,0)),""))</f>
        <v/>
      </c>
      <c r="I394" s="21">
        <f>IF($K394=I$8,1+IF(OFFSET(I394,-1,0)="",0,OFFSET(I394,-1,0)),IF(I$8&lt;$K394,IF(OFFSET(I394,-1,0)="","ERR",OFFSET(I394,-1,0)),""))</f>
        <v/>
      </c>
      <c r="J394" s="56">
        <f>_xlfn.TEXTJOIN(".",1,B394:I394)</f>
        <v/>
      </c>
      <c r="K394" s="56" t="inlineStr">
        <is>
          <t>Л7</t>
        </is>
      </c>
      <c r="L394" s="57" t="n"/>
      <c r="M394" s="66" t="inlineStr">
        <is>
          <t>Крышка на лоток осн.100 L3000-1,0мм, K10010-1, ООО «Электрорешения»</t>
        </is>
      </c>
      <c r="N394" s="56" t="inlineStr">
        <is>
          <t>пог. м</t>
        </is>
      </c>
      <c r="O394" s="62">
        <f>P394+R394+T394+V394</f>
        <v/>
      </c>
      <c r="P394" s="24" t="n">
        <v>315.1</v>
      </c>
      <c r="Q394" s="24" t="n"/>
      <c r="R394" s="24" t="n"/>
      <c r="S394" s="24" t="n"/>
      <c r="T394" s="24" t="n"/>
      <c r="U394" s="24" t="n"/>
      <c r="V394" s="24" t="n"/>
      <c r="W394" s="62" t="n">
        <v>1.03</v>
      </c>
      <c r="X394" s="26" t="n">
        <v>7721403552</v>
      </c>
      <c r="Y394" s="26" t="n">
        <v>771501001</v>
      </c>
      <c r="Z394" s="26" t="inlineStr">
        <is>
          <t>ООО "Электрорешения"</t>
        </is>
      </c>
      <c r="AA394" s="58" t="inlineStr">
        <is>
          <t>ГТ</t>
        </is>
      </c>
      <c r="AB394" s="191" t="n"/>
      <c r="AC394" s="189" t="n"/>
      <c r="AD394" s="190">
        <f>SUM(AB394:AC394)</f>
        <v/>
      </c>
      <c r="AE394" s="190">
        <f>AB394*$O394*$W394</f>
        <v/>
      </c>
      <c r="AF394" s="190">
        <f>AC394*$O394*$W394</f>
        <v/>
      </c>
      <c r="AG394" s="190">
        <f>SUM(AE394:AF394)</f>
        <v/>
      </c>
      <c r="AH394" s="197" t="n"/>
    </row>
    <row r="395" outlineLevel="1" ht="45" customFormat="1" customHeight="1" s="22">
      <c r="A395" s="20" t="inlineStr">
        <is>
          <t>О</t>
        </is>
      </c>
      <c r="B395" s="21">
        <f>IF($K395=B$8,1+IF(OFFSET(B395,-1,0)="",0,OFFSET(B395,-1,0)),IF(B$8&lt;$K395,IF(OFFSET(B395,-1,0)="","ERR",OFFSET(B395,-1,0)),""))</f>
        <v/>
      </c>
      <c r="C395" s="21">
        <f>IF($K395=C$8,1+IF(OFFSET(C395,-1,0)="",0,OFFSET(C395,-1,0)),IF(C$8&lt;$K395,IF(OFFSET(C395,-1,0)="","ERR",OFFSET(C395,-1,0)),""))</f>
        <v/>
      </c>
      <c r="D395" s="21">
        <f>IF($K395=D$8,1+IF(OFFSET(D395,-1,0)="",0,OFFSET(D395,-1,0)),IF(D$8&lt;$K395,IF(OFFSET(D395,-1,0)="","ERR",OFFSET(D395,-1,0)),""))</f>
        <v/>
      </c>
      <c r="E395" s="21">
        <f>IF($K395=E$8,1+IF(OFFSET(E395,-1,0)="",0,OFFSET(E395,-1,0)),IF(E$8&lt;$K395,IF(OFFSET(E395,-1,0)="","ERR",OFFSET(E395,-1,0)),""))</f>
        <v/>
      </c>
      <c r="F395" s="21">
        <f>IF($K395=F$8,1+IF(OFFSET(F395,-1,0)="",0,OFFSET(F395,-1,0)),IF(F$8&lt;$K395,IF(OFFSET(F395,-1,0)="","ERR",OFFSET(F395,-1,0)),""))</f>
        <v/>
      </c>
      <c r="G395" s="21">
        <f>IF($K395=G$8,1+IF(OFFSET(G395,-1,0)="",0,OFFSET(G395,-1,0)),IF(G$8&lt;$K395,IF(OFFSET(G395,-1,0)="","ERR",OFFSET(G395,-1,0)),""))</f>
        <v/>
      </c>
      <c r="H395" s="21">
        <f>IF($K395=H$8,1+IF(OFFSET(H395,-1,0)="",0,OFFSET(H395,-1,0)),IF(H$8&lt;$K395,IF(OFFSET(H395,-1,0)="","ERR",OFFSET(H395,-1,0)),""))</f>
        <v/>
      </c>
      <c r="I395" s="21">
        <f>IF($K395=I$8,1+IF(OFFSET(I395,-1,0)="",0,OFFSET(I395,-1,0)),IF(I$8&lt;$K395,IF(OFFSET(I395,-1,0)="","ERR",OFFSET(I395,-1,0)),""))</f>
        <v/>
      </c>
      <c r="J395" s="56">
        <f>_xlfn.TEXTJOIN(".",1,B395:I395)</f>
        <v/>
      </c>
      <c r="K395" s="56" t="inlineStr">
        <is>
          <t>Л7</t>
        </is>
      </c>
      <c r="L395" s="57" t="n"/>
      <c r="M395" s="66" t="inlineStr">
        <is>
          <t>Крышка на лоток осн.150 L3000-1,0мм, K15010-1, ООО «Электрорешения»</t>
        </is>
      </c>
      <c r="N395" s="56" t="inlineStr">
        <is>
          <t>пог. м</t>
        </is>
      </c>
      <c r="O395" s="62">
        <f>P395+R395+T395+V395</f>
        <v/>
      </c>
      <c r="P395" s="24" t="n">
        <v>325.1</v>
      </c>
      <c r="Q395" s="24" t="n"/>
      <c r="R395" s="24" t="n"/>
      <c r="S395" s="24" t="n"/>
      <c r="T395" s="24" t="n"/>
      <c r="U395" s="24" t="n"/>
      <c r="V395" s="24" t="n"/>
      <c r="W395" s="62" t="n">
        <v>1.03</v>
      </c>
      <c r="X395" s="26" t="n">
        <v>7721403552</v>
      </c>
      <c r="Y395" s="26" t="n">
        <v>771501001</v>
      </c>
      <c r="Z395" s="26" t="inlineStr">
        <is>
          <t>ООО "Электрорешения"</t>
        </is>
      </c>
      <c r="AA395" s="58" t="inlineStr">
        <is>
          <t>ГТ</t>
        </is>
      </c>
      <c r="AB395" s="191" t="n"/>
      <c r="AC395" s="189" t="n"/>
      <c r="AD395" s="190">
        <f>SUM(AB395:AC395)</f>
        <v/>
      </c>
      <c r="AE395" s="190">
        <f>AB395*$O395*$W395</f>
        <v/>
      </c>
      <c r="AF395" s="190">
        <f>AC395*$O395*$W395</f>
        <v/>
      </c>
      <c r="AG395" s="190">
        <f>SUM(AE395:AF395)</f>
        <v/>
      </c>
      <c r="AH395" s="197" t="n"/>
    </row>
    <row r="396" outlineLevel="1" ht="45" customFormat="1" customHeight="1" s="22">
      <c r="A396" s="20" t="inlineStr">
        <is>
          <t>О</t>
        </is>
      </c>
      <c r="B396" s="21">
        <f>IF($K396=B$8,1+IF(OFFSET(B396,-1,0)="",0,OFFSET(B396,-1,0)),IF(B$8&lt;$K396,IF(OFFSET(B396,-1,0)="","ERR",OFFSET(B396,-1,0)),""))</f>
        <v/>
      </c>
      <c r="C396" s="21">
        <f>IF($K396=C$8,1+IF(OFFSET(C396,-1,0)="",0,OFFSET(C396,-1,0)),IF(C$8&lt;$K396,IF(OFFSET(C396,-1,0)="","ERR",OFFSET(C396,-1,0)),""))</f>
        <v/>
      </c>
      <c r="D396" s="21">
        <f>IF($K396=D$8,1+IF(OFFSET(D396,-1,0)="",0,OFFSET(D396,-1,0)),IF(D$8&lt;$K396,IF(OFFSET(D396,-1,0)="","ERR",OFFSET(D396,-1,0)),""))</f>
        <v/>
      </c>
      <c r="E396" s="21">
        <f>IF($K396=E$8,1+IF(OFFSET(E396,-1,0)="",0,OFFSET(E396,-1,0)),IF(E$8&lt;$K396,IF(OFFSET(E396,-1,0)="","ERR",OFFSET(E396,-1,0)),""))</f>
        <v/>
      </c>
      <c r="F396" s="21">
        <f>IF($K396=F$8,1+IF(OFFSET(F396,-1,0)="",0,OFFSET(F396,-1,0)),IF(F$8&lt;$K396,IF(OFFSET(F396,-1,0)="","ERR",OFFSET(F396,-1,0)),""))</f>
        <v/>
      </c>
      <c r="G396" s="21">
        <f>IF($K396=G$8,1+IF(OFFSET(G396,-1,0)="",0,OFFSET(G396,-1,0)),IF(G$8&lt;$K396,IF(OFFSET(G396,-1,0)="","ERR",OFFSET(G396,-1,0)),""))</f>
        <v/>
      </c>
      <c r="H396" s="21">
        <f>IF($K396=H$8,1+IF(OFFSET(H396,-1,0)="",0,OFFSET(H396,-1,0)),IF(H$8&lt;$K396,IF(OFFSET(H396,-1,0)="","ERR",OFFSET(H396,-1,0)),""))</f>
        <v/>
      </c>
      <c r="I396" s="21">
        <f>IF($K396=I$8,1+IF(OFFSET(I396,-1,0)="",0,OFFSET(I396,-1,0)),IF(I$8&lt;$K396,IF(OFFSET(I396,-1,0)="","ERR",OFFSET(I396,-1,0)),""))</f>
        <v/>
      </c>
      <c r="J396" s="56">
        <f>_xlfn.TEXTJOIN(".",1,B396:I396)</f>
        <v/>
      </c>
      <c r="K396" s="56" t="inlineStr">
        <is>
          <t>Л7</t>
        </is>
      </c>
      <c r="L396" s="57" t="n"/>
      <c r="M396" s="66" t="inlineStr">
        <is>
          <t>Крышка на лоток осн.300 L3000-1,0мм, K30010-1, ООО «Электрорешения»</t>
        </is>
      </c>
      <c r="N396" s="56" t="inlineStr">
        <is>
          <t>пог. м</t>
        </is>
      </c>
      <c r="O396" s="62">
        <f>P396+R396+T396+V396</f>
        <v/>
      </c>
      <c r="P396" s="24" t="n">
        <v>33.1</v>
      </c>
      <c r="Q396" s="24" t="n"/>
      <c r="R396" s="24" t="n"/>
      <c r="S396" s="24" t="n"/>
      <c r="T396" s="24" t="n"/>
      <c r="U396" s="24" t="n"/>
      <c r="V396" s="24" t="n"/>
      <c r="W396" s="62" t="n">
        <v>1.03</v>
      </c>
      <c r="X396" s="26" t="n">
        <v>7721403552</v>
      </c>
      <c r="Y396" s="26" t="n">
        <v>771501001</v>
      </c>
      <c r="Z396" s="26" t="inlineStr">
        <is>
          <t>ООО "Электрорешения"</t>
        </is>
      </c>
      <c r="AA396" s="58" t="inlineStr">
        <is>
          <t>ГТ</t>
        </is>
      </c>
      <c r="AB396" s="191" t="n"/>
      <c r="AC396" s="189" t="n"/>
      <c r="AD396" s="190">
        <f>SUM(AB396:AC396)</f>
        <v/>
      </c>
      <c r="AE396" s="190">
        <f>AB396*$O396*$W396</f>
        <v/>
      </c>
      <c r="AF396" s="190">
        <f>AC396*$O396*$W396</f>
        <v/>
      </c>
      <c r="AG396" s="190">
        <f>SUM(AE396:AF396)</f>
        <v/>
      </c>
      <c r="AH396" s="197" t="n"/>
    </row>
    <row r="397" outlineLevel="1" ht="45" customFormat="1" customHeight="1" s="22">
      <c r="A397" s="20" t="inlineStr">
        <is>
          <t>О</t>
        </is>
      </c>
      <c r="B397" s="21">
        <f>IF($K397=B$8,1+IF(OFFSET(B397,-1,0)="",0,OFFSET(B397,-1,0)),IF(B$8&lt;$K397,IF(OFFSET(B397,-1,0)="","ERR",OFFSET(B397,-1,0)),""))</f>
        <v/>
      </c>
      <c r="C397" s="21">
        <f>IF($K397=C$8,1+IF(OFFSET(C397,-1,0)="",0,OFFSET(C397,-1,0)),IF(C$8&lt;$K397,IF(OFFSET(C397,-1,0)="","ERR",OFFSET(C397,-1,0)),""))</f>
        <v/>
      </c>
      <c r="D397" s="21">
        <f>IF($K397=D$8,1+IF(OFFSET(D397,-1,0)="",0,OFFSET(D397,-1,0)),IF(D$8&lt;$K397,IF(OFFSET(D397,-1,0)="","ERR",OFFSET(D397,-1,0)),""))</f>
        <v/>
      </c>
      <c r="E397" s="21">
        <f>IF($K397=E$8,1+IF(OFFSET(E397,-1,0)="",0,OFFSET(E397,-1,0)),IF(E$8&lt;$K397,IF(OFFSET(E397,-1,0)="","ERR",OFFSET(E397,-1,0)),""))</f>
        <v/>
      </c>
      <c r="F397" s="21">
        <f>IF($K397=F$8,1+IF(OFFSET(F397,-1,0)="",0,OFFSET(F397,-1,0)),IF(F$8&lt;$K397,IF(OFFSET(F397,-1,0)="","ERR",OFFSET(F397,-1,0)),""))</f>
        <v/>
      </c>
      <c r="G397" s="21">
        <f>IF($K397=G$8,1+IF(OFFSET(G397,-1,0)="",0,OFFSET(G397,-1,0)),IF(G$8&lt;$K397,IF(OFFSET(G397,-1,0)="","ERR",OFFSET(G397,-1,0)),""))</f>
        <v/>
      </c>
      <c r="H397" s="21">
        <f>IF($K397=H$8,1+IF(OFFSET(H397,-1,0)="",0,OFFSET(H397,-1,0)),IF(H$8&lt;$K397,IF(OFFSET(H397,-1,0)="","ERR",OFFSET(H397,-1,0)),""))</f>
        <v/>
      </c>
      <c r="I397" s="21">
        <f>IF($K397=I$8,1+IF(OFFSET(I397,-1,0)="",0,OFFSET(I397,-1,0)),IF(I$8&lt;$K397,IF(OFFSET(I397,-1,0)="","ERR",OFFSET(I397,-1,0)),""))</f>
        <v/>
      </c>
      <c r="J397" s="56">
        <f>_xlfn.TEXTJOIN(".",1,B397:I397)</f>
        <v/>
      </c>
      <c r="K397" s="56" t="inlineStr">
        <is>
          <t>Л7</t>
        </is>
      </c>
      <c r="L397" s="57" t="n"/>
      <c r="M397" s="66" t="inlineStr">
        <is>
          <t>Крышка на лоток осн.400 L3000-1,0мм, K40010-1, ООО «Электрорешения»</t>
        </is>
      </c>
      <c r="N397" s="56" t="inlineStr">
        <is>
          <t>пог. м</t>
        </is>
      </c>
      <c r="O397" s="62">
        <f>P397+R397+T397+V397</f>
        <v/>
      </c>
      <c r="P397" s="24" t="n">
        <v>10</v>
      </c>
      <c r="Q397" s="24" t="n"/>
      <c r="R397" s="24" t="n"/>
      <c r="S397" s="24" t="n"/>
      <c r="T397" s="24" t="n"/>
      <c r="U397" s="24" t="n"/>
      <c r="V397" s="24" t="n"/>
      <c r="W397" s="62" t="n">
        <v>1.03</v>
      </c>
      <c r="X397" s="26" t="n">
        <v>7721403552</v>
      </c>
      <c r="Y397" s="26" t="n">
        <v>771501001</v>
      </c>
      <c r="Z397" s="26" t="inlineStr">
        <is>
          <t>ООО "Электрорешения"</t>
        </is>
      </c>
      <c r="AA397" s="58" t="inlineStr">
        <is>
          <t>ГТ</t>
        </is>
      </c>
      <c r="AB397" s="191" t="n"/>
      <c r="AC397" s="189" t="n"/>
      <c r="AD397" s="190">
        <f>SUM(AB397:AC397)</f>
        <v/>
      </c>
      <c r="AE397" s="190">
        <f>AB397*$O397*$W397</f>
        <v/>
      </c>
      <c r="AF397" s="190">
        <f>AC397*$O397*$W397</f>
        <v/>
      </c>
      <c r="AG397" s="190">
        <f>SUM(AE397:AF397)</f>
        <v/>
      </c>
      <c r="AH397" s="197" t="n"/>
    </row>
    <row r="398" outlineLevel="1" customFormat="1" s="22">
      <c r="A398" s="20" t="inlineStr">
        <is>
          <t>О</t>
        </is>
      </c>
      <c r="B398" s="21">
        <f>IF($K398=B$8,1+IF(OFFSET(B398,-1,0)="",0,OFFSET(B398,-1,0)),IF(B$8&lt;$K398,IF(OFFSET(B398,-1,0)="","ERR",OFFSET(B398,-1,0)),""))</f>
        <v/>
      </c>
      <c r="C398" s="21">
        <f>IF($K398=C$8,1+IF(OFFSET(C398,-1,0)="",0,OFFSET(C398,-1,0)),IF(C$8&lt;$K398,IF(OFFSET(C398,-1,0)="","ERR",OFFSET(C398,-1,0)),""))</f>
        <v/>
      </c>
      <c r="D398" s="21">
        <f>IF($K398=D$8,1+IF(OFFSET(D398,-1,0)="",0,OFFSET(D398,-1,0)),IF(D$8&lt;$K398,IF(OFFSET(D398,-1,0)="","ERR",OFFSET(D398,-1,0)),""))</f>
        <v/>
      </c>
      <c r="E398" s="21">
        <f>IF($K398=E$8,1+IF(OFFSET(E398,-1,0)="",0,OFFSET(E398,-1,0)),IF(E$8&lt;$K398,IF(OFFSET(E398,-1,0)="","ERR",OFFSET(E398,-1,0)),""))</f>
        <v/>
      </c>
      <c r="F398" s="21">
        <f>IF($K398=F$8,1+IF(OFFSET(F398,-1,0)="",0,OFFSET(F398,-1,0)),IF(F$8&lt;$K398,IF(OFFSET(F398,-1,0)="","ERR",OFFSET(F398,-1,0)),""))</f>
        <v/>
      </c>
      <c r="G398" s="21">
        <f>IF($K398=G$8,1+IF(OFFSET(G398,-1,0)="",0,OFFSET(G398,-1,0)),IF(G$8&lt;$K398,IF(OFFSET(G398,-1,0)="","ERR",OFFSET(G398,-1,0)),""))</f>
        <v/>
      </c>
      <c r="H398" s="21">
        <f>IF($K398=H$8,1+IF(OFFSET(H398,-1,0)="",0,OFFSET(H398,-1,0)),IF(H$8&lt;$K398,IF(OFFSET(H398,-1,0)="","ERR",OFFSET(H398,-1,0)),""))</f>
        <v/>
      </c>
      <c r="I398" s="21">
        <f>IF($K398=I$8,1+IF(OFFSET(I398,-1,0)="",0,OFFSET(I398,-1,0)),IF(I$8&lt;$K398,IF(OFFSET(I398,-1,0)="","ERR",OFFSET(I398,-1,0)),""))</f>
        <v/>
      </c>
      <c r="J398" s="59">
        <f>_xlfn.TEXTJOIN(".",1,B398:I398)</f>
        <v/>
      </c>
      <c r="K398" s="59" t="inlineStr">
        <is>
          <t>Л7</t>
        </is>
      </c>
      <c r="L398" s="60" t="n"/>
      <c r="M398" s="64" t="inlineStr">
        <is>
          <t>Сопутствующие и прочие материалы*</t>
        </is>
      </c>
      <c r="N398" s="59" t="inlineStr">
        <is>
          <t>пог. м</t>
        </is>
      </c>
      <c r="O398" s="95">
        <f>P398+R398+T398+V398</f>
        <v/>
      </c>
      <c r="P398" s="25" t="n">
        <v>928.7</v>
      </c>
      <c r="Q398" s="25" t="n"/>
      <c r="R398" s="25" t="n"/>
      <c r="S398" s="25" t="n"/>
      <c r="T398" s="25" t="n"/>
      <c r="U398" s="25" t="n"/>
      <c r="V398" s="25" t="n"/>
      <c r="W398" s="59" t="n"/>
      <c r="X398" s="25" t="n"/>
      <c r="Y398" s="25" t="n"/>
      <c r="Z398" s="25" t="n"/>
      <c r="AA398" s="61" t="n"/>
      <c r="AB398" s="179" t="n"/>
      <c r="AC398" s="190" t="n"/>
      <c r="AD398" s="189">
        <f>SUM(AB398:AC398)</f>
        <v/>
      </c>
      <c r="AE398" s="189">
        <f>AB398*$O398</f>
        <v/>
      </c>
      <c r="AF398" s="189">
        <f>AC398*$O398</f>
        <v/>
      </c>
      <c r="AG398" s="189">
        <f>SUM(AE398:AF398)</f>
        <v/>
      </c>
      <c r="AH398" s="197" t="n"/>
    </row>
    <row r="399" outlineLevel="1" ht="25.5" customHeight="1">
      <c r="A399" s="18" t="inlineStr">
        <is>
          <t>О</t>
        </is>
      </c>
      <c r="B399" s="11">
        <f>IF($K399=B$8,1+IF(OFFSET(B399,-1,0)="",0,OFFSET(B399,-1,0)),IF(B$8&lt;$K399,IF(OFFSET(B399,-1,0)="","ERR",OFFSET(B399,-1,0)),""))</f>
        <v/>
      </c>
      <c r="C399" s="11">
        <f>IF($K399=C$8,1+IF(OFFSET(C399,-1,0)="",0,OFFSET(C399,-1,0)),IF(C$8&lt;$K399,IF(OFFSET(C399,-1,0)="","ERR",OFFSET(C399,-1,0)),""))</f>
        <v/>
      </c>
      <c r="D399" s="11">
        <f>IF($K399=D$8,1+IF(OFFSET(D399,-1,0)="",0,OFFSET(D399,-1,0)),IF(D$8&lt;$K399,IF(OFFSET(D399,-1,0)="","ERR",OFFSET(D399,-1,0)),""))</f>
        <v/>
      </c>
      <c r="E399" s="11">
        <f>IF($K399=E$8,1+IF(OFFSET(E399,-1,0)="",0,OFFSET(E399,-1,0)),IF(E$8&lt;$K399,IF(OFFSET(E399,-1,0)="","ERR",OFFSET(E399,-1,0)),""))</f>
        <v/>
      </c>
      <c r="F399" s="11">
        <f>IF($K399=F$8,1+IF(OFFSET(F399,-1,0)="",0,OFFSET(F399,-1,0)),IF(F$8&lt;$K399,IF(OFFSET(F399,-1,0)="","ERR",OFFSET(F399,-1,0)),""))</f>
        <v/>
      </c>
      <c r="G399" s="11">
        <f>IF($K399=G$8,1+IF(OFFSET(G399,-1,0)="",0,OFFSET(G399,-1,0)),IF(G$8&lt;$K399,IF(OFFSET(G399,-1,0)="","ERR",OFFSET(G399,-1,0)),""))</f>
        <v/>
      </c>
      <c r="H399" s="11">
        <f>IF($K399=H$8,1+IF(OFFSET(H399,-1,0)="",0,OFFSET(H399,-1,0)),IF(H$8&lt;$K399,IF(OFFSET(H399,-1,0)="","ERR",OFFSET(H399,-1,0)),""))</f>
        <v/>
      </c>
      <c r="I399" s="11">
        <f>IF($K399=I$8,1+IF(OFFSET(I399,-1,0)="",0,OFFSET(I399,-1,0)),IF(I$8&lt;$K399,IF(OFFSET(I399,-1,0)="","ERR",OFFSET(I399,-1,0)),""))</f>
        <v/>
      </c>
      <c r="J399" s="46">
        <f>_xlfn.TEXTJOIN(".",1,B399:I399)</f>
        <v/>
      </c>
      <c r="K399" s="46" t="inlineStr">
        <is>
          <t>Л6</t>
        </is>
      </c>
      <c r="L399" s="46" t="inlineStr">
        <is>
          <t>3.3.3.15.2.22</t>
        </is>
      </c>
      <c r="M399" s="47" t="inlineStr">
        <is>
          <t>Монтаж лотка проволочного шириной от 101 мм до 200 мм (с учетом системы крепления и соединительных элементов)</t>
        </is>
      </c>
      <c r="N399" s="46" t="inlineStr">
        <is>
          <t>пог. м</t>
        </is>
      </c>
      <c r="O399" s="94">
        <f>P399+R399+T399+V399</f>
        <v/>
      </c>
      <c r="P399" s="23" t="n">
        <v>86.40000000000001</v>
      </c>
      <c r="Q399" s="23" t="n"/>
      <c r="R399" s="23" t="n"/>
      <c r="S399" s="23" t="n"/>
      <c r="T399" s="23" t="n"/>
      <c r="U399" s="23" t="n"/>
      <c r="V399" s="23" t="n"/>
      <c r="W399" s="46" t="n"/>
      <c r="X399" s="23" t="n"/>
      <c r="Y399" s="23" t="n"/>
      <c r="Z399" s="23" t="n"/>
      <c r="AA399" s="48" t="n"/>
      <c r="AB399" s="187" t="n"/>
      <c r="AC399" s="180" t="n"/>
      <c r="AD399" s="189">
        <f>SUM(AB399:AC399)</f>
        <v/>
      </c>
      <c r="AE399" s="189">
        <f>AB399*$O399</f>
        <v/>
      </c>
      <c r="AF399" s="189">
        <f>AC399*$O399</f>
        <v/>
      </c>
      <c r="AG399" s="189">
        <f>SUM(AE399:AF399)</f>
        <v/>
      </c>
      <c r="AH399" s="182" t="n"/>
    </row>
    <row r="400" outlineLevel="1" ht="45" customFormat="1" customHeight="1" s="22">
      <c r="A400" s="20" t="inlineStr">
        <is>
          <t>О</t>
        </is>
      </c>
      <c r="B400" s="21">
        <f>IF($K400=B$8,1+IF(OFFSET(B400,-1,0)="",0,OFFSET(B400,-1,0)),IF(B$8&lt;$K400,IF(OFFSET(B400,-1,0)="","ERR",OFFSET(B400,-1,0)),""))</f>
        <v/>
      </c>
      <c r="C400" s="21">
        <f>IF($K400=C$8,1+IF(OFFSET(C400,-1,0)="",0,OFFSET(C400,-1,0)),IF(C$8&lt;$K400,IF(OFFSET(C400,-1,0)="","ERR",OFFSET(C400,-1,0)),""))</f>
        <v/>
      </c>
      <c r="D400" s="21">
        <f>IF($K400=D$8,1+IF(OFFSET(D400,-1,0)="",0,OFFSET(D400,-1,0)),IF(D$8&lt;$K400,IF(OFFSET(D400,-1,0)="","ERR",OFFSET(D400,-1,0)),""))</f>
        <v/>
      </c>
      <c r="E400" s="21">
        <f>IF($K400=E$8,1+IF(OFFSET(E400,-1,0)="",0,OFFSET(E400,-1,0)),IF(E$8&lt;$K400,IF(OFFSET(E400,-1,0)="","ERR",OFFSET(E400,-1,0)),""))</f>
        <v/>
      </c>
      <c r="F400" s="21">
        <f>IF($K400=F$8,1+IF(OFFSET(F400,-1,0)="",0,OFFSET(F400,-1,0)),IF(F$8&lt;$K400,IF(OFFSET(F400,-1,0)="","ERR",OFFSET(F400,-1,0)),""))</f>
        <v/>
      </c>
      <c r="G400" s="21">
        <f>IF($K400=G$8,1+IF(OFFSET(G400,-1,0)="",0,OFFSET(G400,-1,0)),IF(G$8&lt;$K400,IF(OFFSET(G400,-1,0)="","ERR",OFFSET(G400,-1,0)),""))</f>
        <v/>
      </c>
      <c r="H400" s="21">
        <f>IF($K400=H$8,1+IF(OFFSET(H400,-1,0)="",0,OFFSET(H400,-1,0)),IF(H$8&lt;$K400,IF(OFFSET(H400,-1,0)="","ERR",OFFSET(H400,-1,0)),""))</f>
        <v/>
      </c>
      <c r="I400" s="21">
        <f>IF($K400=I$8,1+IF(OFFSET(I400,-1,0)="",0,OFFSET(I400,-1,0)),IF(I$8&lt;$K400,IF(OFFSET(I400,-1,0)="","ERR",OFFSET(I400,-1,0)),""))</f>
        <v/>
      </c>
      <c r="J400" s="56">
        <f>_xlfn.TEXTJOIN(".",1,B400:I400)</f>
        <v/>
      </c>
      <c r="K400" s="56" t="inlineStr">
        <is>
          <t>Л7</t>
        </is>
      </c>
      <c r="L400" s="57" t="n"/>
      <c r="M400" s="66" t="inlineStr">
        <is>
          <t>Лоток проволочный 50х200х3000-3,8мм,, LP50200-3,8, ООО «Электрорешения»</t>
        </is>
      </c>
      <c r="N400" s="56" t="inlineStr">
        <is>
          <t>пог. м</t>
        </is>
      </c>
      <c r="O400" s="62">
        <f>P400+R400+T400+V400</f>
        <v/>
      </c>
      <c r="P400" s="24" t="n">
        <v>86.40000000000001</v>
      </c>
      <c r="Q400" s="24" t="n"/>
      <c r="R400" s="24" t="n"/>
      <c r="S400" s="24" t="n"/>
      <c r="T400" s="24" t="n"/>
      <c r="U400" s="24" t="n"/>
      <c r="V400" s="24" t="n"/>
      <c r="W400" s="62" t="n">
        <v>1.03</v>
      </c>
      <c r="X400" s="26" t="n">
        <v>7721403552</v>
      </c>
      <c r="Y400" s="26" t="n">
        <v>771501001</v>
      </c>
      <c r="Z400" s="26" t="inlineStr">
        <is>
          <t>ООО "Электрорешения"</t>
        </is>
      </c>
      <c r="AA400" s="58" t="inlineStr">
        <is>
          <t>ГТ</t>
        </is>
      </c>
      <c r="AB400" s="191" t="n"/>
      <c r="AC400" s="189" t="n"/>
      <c r="AD400" s="190">
        <f>SUM(AB400:AC400)</f>
        <v/>
      </c>
      <c r="AE400" s="190">
        <f>AB400*$O400*$W400</f>
        <v/>
      </c>
      <c r="AF400" s="190">
        <f>AC400*$O400*$W400</f>
        <v/>
      </c>
      <c r="AG400" s="190">
        <f>SUM(AE400:AF400)</f>
        <v/>
      </c>
      <c r="AH400" s="197" t="n"/>
    </row>
    <row r="401" outlineLevel="1" customFormat="1" s="22">
      <c r="A401" s="20" t="inlineStr">
        <is>
          <t>О</t>
        </is>
      </c>
      <c r="B401" s="21">
        <f>IF($K401=B$8,1+IF(OFFSET(B401,-1,0)="",0,OFFSET(B401,-1,0)),IF(B$8&lt;$K401,IF(OFFSET(B401,-1,0)="","ERR",OFFSET(B401,-1,0)),""))</f>
        <v/>
      </c>
      <c r="C401" s="21">
        <f>IF($K401=C$8,1+IF(OFFSET(C401,-1,0)="",0,OFFSET(C401,-1,0)),IF(C$8&lt;$K401,IF(OFFSET(C401,-1,0)="","ERR",OFFSET(C401,-1,0)),""))</f>
        <v/>
      </c>
      <c r="D401" s="21">
        <f>IF($K401=D$8,1+IF(OFFSET(D401,-1,0)="",0,OFFSET(D401,-1,0)),IF(D$8&lt;$K401,IF(OFFSET(D401,-1,0)="","ERR",OFFSET(D401,-1,0)),""))</f>
        <v/>
      </c>
      <c r="E401" s="21">
        <f>IF($K401=E$8,1+IF(OFFSET(E401,-1,0)="",0,OFFSET(E401,-1,0)),IF(E$8&lt;$K401,IF(OFFSET(E401,-1,0)="","ERR",OFFSET(E401,-1,0)),""))</f>
        <v/>
      </c>
      <c r="F401" s="21">
        <f>IF($K401=F$8,1+IF(OFFSET(F401,-1,0)="",0,OFFSET(F401,-1,0)),IF(F$8&lt;$K401,IF(OFFSET(F401,-1,0)="","ERR",OFFSET(F401,-1,0)),""))</f>
        <v/>
      </c>
      <c r="G401" s="21">
        <f>IF($K401=G$8,1+IF(OFFSET(G401,-1,0)="",0,OFFSET(G401,-1,0)),IF(G$8&lt;$K401,IF(OFFSET(G401,-1,0)="","ERR",OFFSET(G401,-1,0)),""))</f>
        <v/>
      </c>
      <c r="H401" s="21">
        <f>IF($K401=H$8,1+IF(OFFSET(H401,-1,0)="",0,OFFSET(H401,-1,0)),IF(H$8&lt;$K401,IF(OFFSET(H401,-1,0)="","ERR",OFFSET(H401,-1,0)),""))</f>
        <v/>
      </c>
      <c r="I401" s="21">
        <f>IF($K401=I$8,1+IF(OFFSET(I401,-1,0)="",0,OFFSET(I401,-1,0)),IF(I$8&lt;$K401,IF(OFFSET(I401,-1,0)="","ERR",OFFSET(I401,-1,0)),""))</f>
        <v/>
      </c>
      <c r="J401" s="59">
        <f>_xlfn.TEXTJOIN(".",1,B401:I401)</f>
        <v/>
      </c>
      <c r="K401" s="59" t="inlineStr">
        <is>
          <t>Л7</t>
        </is>
      </c>
      <c r="L401" s="60" t="n"/>
      <c r="M401" s="64" t="inlineStr">
        <is>
          <t>Сопутствующие и прочие материалы*</t>
        </is>
      </c>
      <c r="N401" s="59" t="inlineStr">
        <is>
          <t>пог. м</t>
        </is>
      </c>
      <c r="O401" s="95">
        <f>P401+R401+T401+V401</f>
        <v/>
      </c>
      <c r="P401" s="25" t="n">
        <v>86.40000000000001</v>
      </c>
      <c r="Q401" s="25" t="n"/>
      <c r="R401" s="25" t="n"/>
      <c r="S401" s="25" t="n"/>
      <c r="T401" s="25" t="n"/>
      <c r="U401" s="25" t="n"/>
      <c r="V401" s="25" t="n"/>
      <c r="W401" s="59" t="n"/>
      <c r="X401" s="25" t="n"/>
      <c r="Y401" s="25" t="n"/>
      <c r="Z401" s="25" t="n"/>
      <c r="AA401" s="61" t="n"/>
      <c r="AB401" s="179" t="n"/>
      <c r="AC401" s="190" t="n"/>
      <c r="AD401" s="189">
        <f>SUM(AB401:AC401)</f>
        <v/>
      </c>
      <c r="AE401" s="189">
        <f>AB401*$O401</f>
        <v/>
      </c>
      <c r="AF401" s="189">
        <f>AC401*$O401</f>
        <v/>
      </c>
      <c r="AG401" s="189">
        <f>SUM(AE401:AF401)</f>
        <v/>
      </c>
      <c r="AH401" s="197" t="n"/>
    </row>
    <row r="402" outlineLevel="1">
      <c r="A402" s="18" t="inlineStr">
        <is>
          <t>О</t>
        </is>
      </c>
      <c r="B402" s="11">
        <f>IF($K402=B$8,1+IF(OFFSET(B402,-1,0)="",0,OFFSET(B402,-1,0)),IF(B$8&lt;$K402,IF(OFFSET(B402,-1,0)="","ERR",OFFSET(B402,-1,0)),""))</f>
        <v/>
      </c>
      <c r="C402" s="11">
        <f>IF($K402=C$8,1+IF(OFFSET(C402,-1,0)="",0,OFFSET(C402,-1,0)),IF(C$8&lt;$K402,IF(OFFSET(C402,-1,0)="","ERR",OFFSET(C402,-1,0)),""))</f>
        <v/>
      </c>
      <c r="D402" s="11">
        <f>IF($K402=D$8,1+IF(OFFSET(D402,-1,0)="",0,OFFSET(D402,-1,0)),IF(D$8&lt;$K402,IF(OFFSET(D402,-1,0)="","ERR",OFFSET(D402,-1,0)),""))</f>
        <v/>
      </c>
      <c r="E402" s="11">
        <f>IF($K402=E$8,1+IF(OFFSET(E402,-1,0)="",0,OFFSET(E402,-1,0)),IF(E$8&lt;$K402,IF(OFFSET(E402,-1,0)="","ERR",OFFSET(E402,-1,0)),""))</f>
        <v/>
      </c>
      <c r="F402" s="11">
        <f>IF($K402=F$8,1+IF(OFFSET(F402,-1,0)="",0,OFFSET(F402,-1,0)),IF(F$8&lt;$K402,IF(OFFSET(F402,-1,0)="","ERR",OFFSET(F402,-1,0)),""))</f>
        <v/>
      </c>
      <c r="G402" s="11">
        <f>IF($K402=G$8,1+IF(OFFSET(G402,-1,0)="",0,OFFSET(G402,-1,0)),IF(G$8&lt;$K402,IF(OFFSET(G402,-1,0)="","ERR",OFFSET(G402,-1,0)),""))</f>
        <v/>
      </c>
      <c r="H402" s="11">
        <f>IF($K402=H$8,1+IF(OFFSET(H402,-1,0)="",0,OFFSET(H402,-1,0)),IF(H$8&lt;$K402,IF(OFFSET(H402,-1,0)="","ERR",OFFSET(H402,-1,0)),""))</f>
        <v/>
      </c>
      <c r="I402" s="11">
        <f>IF($K402=I$8,1+IF(OFFSET(I402,-1,0)="",0,OFFSET(I402,-1,0)),IF(I$8&lt;$K402,IF(OFFSET(I402,-1,0)="","ERR",OFFSET(I402,-1,0)),""))</f>
        <v/>
      </c>
      <c r="J402" s="46">
        <f>_xlfn.TEXTJOIN(".",1,B402:I402)</f>
        <v/>
      </c>
      <c r="K402" s="46" t="inlineStr">
        <is>
          <t>Л6</t>
        </is>
      </c>
      <c r="L402" s="46" t="inlineStr">
        <is>
          <t>3.3.3.15.2.28</t>
        </is>
      </c>
      <c r="M402" s="47" t="inlineStr">
        <is>
          <t>Монтаж крышки проволочного лотка</t>
        </is>
      </c>
      <c r="N402" s="46" t="inlineStr">
        <is>
          <t>пог. м</t>
        </is>
      </c>
      <c r="O402" s="94">
        <f>P402+R402+T402+V402</f>
        <v/>
      </c>
      <c r="P402" s="23" t="n">
        <v>86.40000000000001</v>
      </c>
      <c r="Q402" s="23" t="n"/>
      <c r="R402" s="23" t="n"/>
      <c r="S402" s="23" t="n"/>
      <c r="T402" s="23" t="n"/>
      <c r="U402" s="23" t="n"/>
      <c r="V402" s="23" t="n"/>
      <c r="W402" s="46" t="n"/>
      <c r="X402" s="23" t="n"/>
      <c r="Y402" s="23" t="n"/>
      <c r="Z402" s="23" t="n"/>
      <c r="AA402" s="48" t="n"/>
      <c r="AB402" s="187" t="n"/>
      <c r="AC402" s="180" t="n"/>
      <c r="AD402" s="189">
        <f>SUM(AB402:AC402)</f>
        <v/>
      </c>
      <c r="AE402" s="189">
        <f>AB402*$O402</f>
        <v/>
      </c>
      <c r="AF402" s="189">
        <f>AC402*$O402</f>
        <v/>
      </c>
      <c r="AG402" s="189">
        <f>SUM(AE402:AF402)</f>
        <v/>
      </c>
      <c r="AH402" s="182" t="n"/>
    </row>
    <row r="403" outlineLevel="1" ht="45" customFormat="1" customHeight="1" s="22">
      <c r="A403" s="20" t="inlineStr">
        <is>
          <t>О</t>
        </is>
      </c>
      <c r="B403" s="21">
        <f>IF($K403=B$8,1+IF(OFFSET(B403,-1,0)="",0,OFFSET(B403,-1,0)),IF(B$8&lt;$K403,IF(OFFSET(B403,-1,0)="","ERR",OFFSET(B403,-1,0)),""))</f>
        <v/>
      </c>
      <c r="C403" s="21">
        <f>IF($K403=C$8,1+IF(OFFSET(C403,-1,0)="",0,OFFSET(C403,-1,0)),IF(C$8&lt;$K403,IF(OFFSET(C403,-1,0)="","ERR",OFFSET(C403,-1,0)),""))</f>
        <v/>
      </c>
      <c r="D403" s="21">
        <f>IF($K403=D$8,1+IF(OFFSET(D403,-1,0)="",0,OFFSET(D403,-1,0)),IF(D$8&lt;$K403,IF(OFFSET(D403,-1,0)="","ERR",OFFSET(D403,-1,0)),""))</f>
        <v/>
      </c>
      <c r="E403" s="21">
        <f>IF($K403=E$8,1+IF(OFFSET(E403,-1,0)="",0,OFFSET(E403,-1,0)),IF(E$8&lt;$K403,IF(OFFSET(E403,-1,0)="","ERR",OFFSET(E403,-1,0)),""))</f>
        <v/>
      </c>
      <c r="F403" s="21">
        <f>IF($K403=F$8,1+IF(OFFSET(F403,-1,0)="",0,OFFSET(F403,-1,0)),IF(F$8&lt;$K403,IF(OFFSET(F403,-1,0)="","ERR",OFFSET(F403,-1,0)),""))</f>
        <v/>
      </c>
      <c r="G403" s="21">
        <f>IF($K403=G$8,1+IF(OFFSET(G403,-1,0)="",0,OFFSET(G403,-1,0)),IF(G$8&lt;$K403,IF(OFFSET(G403,-1,0)="","ERR",OFFSET(G403,-1,0)),""))</f>
        <v/>
      </c>
      <c r="H403" s="21">
        <f>IF($K403=H$8,1+IF(OFFSET(H403,-1,0)="",0,OFFSET(H403,-1,0)),IF(H$8&lt;$K403,IF(OFFSET(H403,-1,0)="","ERR",OFFSET(H403,-1,0)),""))</f>
        <v/>
      </c>
      <c r="I403" s="21">
        <f>IF($K403=I$8,1+IF(OFFSET(I403,-1,0)="",0,OFFSET(I403,-1,0)),IF(I$8&lt;$K403,IF(OFFSET(I403,-1,0)="","ERR",OFFSET(I403,-1,0)),""))</f>
        <v/>
      </c>
      <c r="J403" s="56">
        <f>_xlfn.TEXTJOIN(".",1,B403:I403)</f>
        <v/>
      </c>
      <c r="K403" s="56" t="inlineStr">
        <is>
          <t>Л7</t>
        </is>
      </c>
      <c r="L403" s="57" t="n"/>
      <c r="M403" s="66" t="inlineStr">
        <is>
          <t>Крышка на лоток осн.200 L3000-1,0мм, K20010-1, ООО «Электрорешения»</t>
        </is>
      </c>
      <c r="N403" s="56" t="inlineStr">
        <is>
          <t>пог. м</t>
        </is>
      </c>
      <c r="O403" s="62">
        <f>P403+R403+T403+V403</f>
        <v/>
      </c>
      <c r="P403" s="24" t="n">
        <v>86.40000000000001</v>
      </c>
      <c r="Q403" s="24" t="n"/>
      <c r="R403" s="24" t="n"/>
      <c r="S403" s="24" t="n"/>
      <c r="T403" s="24" t="n"/>
      <c r="U403" s="24" t="n"/>
      <c r="V403" s="24" t="n"/>
      <c r="W403" s="62" t="n">
        <v>1.03</v>
      </c>
      <c r="X403" s="26" t="n">
        <v>7721403552</v>
      </c>
      <c r="Y403" s="26" t="n">
        <v>771501001</v>
      </c>
      <c r="Z403" s="26" t="inlineStr">
        <is>
          <t>ООО "Электрорешения"</t>
        </is>
      </c>
      <c r="AA403" s="58" t="inlineStr">
        <is>
          <t>ГТ</t>
        </is>
      </c>
      <c r="AB403" s="191" t="n"/>
      <c r="AC403" s="189" t="n"/>
      <c r="AD403" s="190">
        <f>SUM(AB403:AC403)</f>
        <v/>
      </c>
      <c r="AE403" s="190">
        <f>AB403*$O403*$W403</f>
        <v/>
      </c>
      <c r="AF403" s="190">
        <f>AC403*$O403*$W403</f>
        <v/>
      </c>
      <c r="AG403" s="190">
        <f>SUM(AE403:AF403)</f>
        <v/>
      </c>
      <c r="AH403" s="197" t="n"/>
    </row>
    <row r="404" outlineLevel="1" customFormat="1" s="22">
      <c r="A404" s="20" t="inlineStr">
        <is>
          <t>О</t>
        </is>
      </c>
      <c r="B404" s="21">
        <f>IF($K404=B$8,1+IF(OFFSET(B404,-1,0)="",0,OFFSET(B404,-1,0)),IF(B$8&lt;$K404,IF(OFFSET(B404,-1,0)="","ERR",OFFSET(B404,-1,0)),""))</f>
        <v/>
      </c>
      <c r="C404" s="21">
        <f>IF($K404=C$8,1+IF(OFFSET(C404,-1,0)="",0,OFFSET(C404,-1,0)),IF(C$8&lt;$K404,IF(OFFSET(C404,-1,0)="","ERR",OFFSET(C404,-1,0)),""))</f>
        <v/>
      </c>
      <c r="D404" s="21">
        <f>IF($K404=D$8,1+IF(OFFSET(D404,-1,0)="",0,OFFSET(D404,-1,0)),IF(D$8&lt;$K404,IF(OFFSET(D404,-1,0)="","ERR",OFFSET(D404,-1,0)),""))</f>
        <v/>
      </c>
      <c r="E404" s="21">
        <f>IF($K404=E$8,1+IF(OFFSET(E404,-1,0)="",0,OFFSET(E404,-1,0)),IF(E$8&lt;$K404,IF(OFFSET(E404,-1,0)="","ERR",OFFSET(E404,-1,0)),""))</f>
        <v/>
      </c>
      <c r="F404" s="21">
        <f>IF($K404=F$8,1+IF(OFFSET(F404,-1,0)="",0,OFFSET(F404,-1,0)),IF(F$8&lt;$K404,IF(OFFSET(F404,-1,0)="","ERR",OFFSET(F404,-1,0)),""))</f>
        <v/>
      </c>
      <c r="G404" s="21">
        <f>IF($K404=G$8,1+IF(OFFSET(G404,-1,0)="",0,OFFSET(G404,-1,0)),IF(G$8&lt;$K404,IF(OFFSET(G404,-1,0)="","ERR",OFFSET(G404,-1,0)),""))</f>
        <v/>
      </c>
      <c r="H404" s="21">
        <f>IF($K404=H$8,1+IF(OFFSET(H404,-1,0)="",0,OFFSET(H404,-1,0)),IF(H$8&lt;$K404,IF(OFFSET(H404,-1,0)="","ERR",OFFSET(H404,-1,0)),""))</f>
        <v/>
      </c>
      <c r="I404" s="21">
        <f>IF($K404=I$8,1+IF(OFFSET(I404,-1,0)="",0,OFFSET(I404,-1,0)),IF(I$8&lt;$K404,IF(OFFSET(I404,-1,0)="","ERR",OFFSET(I404,-1,0)),""))</f>
        <v/>
      </c>
      <c r="J404" s="59">
        <f>_xlfn.TEXTJOIN(".",1,B404:I404)</f>
        <v/>
      </c>
      <c r="K404" s="59" t="inlineStr">
        <is>
          <t>Л7</t>
        </is>
      </c>
      <c r="L404" s="60" t="n"/>
      <c r="M404" s="64" t="inlineStr">
        <is>
          <t>Сопутствующие и прочие материалы*</t>
        </is>
      </c>
      <c r="N404" s="59" t="inlineStr">
        <is>
          <t>пог. м</t>
        </is>
      </c>
      <c r="O404" s="95">
        <f>P404+R404+T404+V404</f>
        <v/>
      </c>
      <c r="P404" s="25" t="n">
        <v>86.40000000000001</v>
      </c>
      <c r="Q404" s="25" t="n"/>
      <c r="R404" s="25" t="n"/>
      <c r="S404" s="25" t="n"/>
      <c r="T404" s="25" t="n"/>
      <c r="U404" s="25" t="n"/>
      <c r="V404" s="25" t="n"/>
      <c r="W404" s="59" t="n"/>
      <c r="X404" s="25" t="n"/>
      <c r="Y404" s="25" t="n"/>
      <c r="Z404" s="25" t="n"/>
      <c r="AA404" s="61" t="n"/>
      <c r="AB404" s="179" t="n"/>
      <c r="AC404" s="190" t="n"/>
      <c r="AD404" s="189">
        <f>SUM(AB404:AC404)</f>
        <v/>
      </c>
      <c r="AE404" s="189">
        <f>AB404*$O404</f>
        <v/>
      </c>
      <c r="AF404" s="189">
        <f>AC404*$O404</f>
        <v/>
      </c>
      <c r="AG404" s="189">
        <f>SUM(AE404:AF404)</f>
        <v/>
      </c>
      <c r="AH404" s="197" t="n"/>
    </row>
    <row r="405" outlineLevel="1" ht="168" customHeight="1">
      <c r="A405" s="18" t="inlineStr">
        <is>
          <t>О</t>
        </is>
      </c>
      <c r="B405" s="11">
        <f>IF($K405=B$8,1+IF(OFFSET(B405,-1,0)="",0,OFFSET(B405,-1,0)),IF(B$8&lt;$K405,IF(OFFSET(B405,-1,0)="","ERR",OFFSET(B405,-1,0)),""))</f>
        <v/>
      </c>
      <c r="C405" s="11">
        <f>IF($K405=C$8,1+IF(OFFSET(C405,-1,0)="",0,OFFSET(C405,-1,0)),IF(C$8&lt;$K405,IF(OFFSET(C405,-1,0)="","ERR",OFFSET(C405,-1,0)),""))</f>
        <v/>
      </c>
      <c r="D405" s="11">
        <f>IF($K405=D$8,1+IF(OFFSET(D405,-1,0)="",0,OFFSET(D405,-1,0)),IF(D$8&lt;$K405,IF(OFFSET(D405,-1,0)="","ERR",OFFSET(D405,-1,0)),""))</f>
        <v/>
      </c>
      <c r="E405" s="11">
        <f>IF($K405=E$8,1+IF(OFFSET(E405,-1,0)="",0,OFFSET(E405,-1,0)),IF(E$8&lt;$K405,IF(OFFSET(E405,-1,0)="","ERR",OFFSET(E405,-1,0)),""))</f>
        <v/>
      </c>
      <c r="F405" s="11">
        <f>IF($K405=F$8,1+IF(OFFSET(F405,-1,0)="",0,OFFSET(F405,-1,0)),IF(F$8&lt;$K405,IF(OFFSET(F405,-1,0)="","ERR",OFFSET(F405,-1,0)),""))</f>
        <v/>
      </c>
      <c r="G405" s="11">
        <f>IF($K405=G$8,1+IF(OFFSET(G405,-1,0)="",0,OFFSET(G405,-1,0)),IF(G$8&lt;$K405,IF(OFFSET(G405,-1,0)="","ERR",OFFSET(G405,-1,0)),""))</f>
        <v/>
      </c>
      <c r="H405" s="11">
        <f>IF($K405=H$8,1+IF(OFFSET(H405,-1,0)="",0,OFFSET(H405,-1,0)),IF(H$8&lt;$K405,IF(OFFSET(H405,-1,0)="","ERR",OFFSET(H405,-1,0)),""))</f>
        <v/>
      </c>
      <c r="I405" s="11">
        <f>IF($K405=I$8,1+IF(OFFSET(I405,-1,0)="",0,OFFSET(I405,-1,0)),IF(I$8&lt;$K405,IF(OFFSET(I405,-1,0)="","ERR",OFFSET(I405,-1,0)),""))</f>
        <v/>
      </c>
      <c r="J405" s="46">
        <f>_xlfn.TEXTJOIN(".",1,B405:I405)</f>
        <v/>
      </c>
      <c r="K405" s="46" t="inlineStr">
        <is>
          <t>Л6</t>
        </is>
      </c>
      <c r="L405" s="46" t="inlineStr">
        <is>
          <t>3.3.3.15.2.39</t>
        </is>
      </c>
      <c r="M405" s="47" t="inlineStr">
        <is>
          <t>Изготовление и монтаж коробов огнезащитных, потолочного крепления из огнестойких плит в 2 слоя:
- Плита огнестойкая «FIREGUARD» толщиной 25 мм, ТУ 23.99.19-036-09559281-2020, ТЕХСТРОНГ - 1949м2;
- Огнезащитный состав «TEHSTRONG CONTACT S», ТУ 20.13.62-021-09559281-2018, ТЕХСТРОНГ - 702кг;
- Вентиляционный блок «TEHSTRONG VB» (100х100х55мм), ТУ 23.99.19-033-09559281-2020, ТЕХСТРОНГ - 88шт.;
- Вентиляционный блок «TEHSTRONG VB» (100х100х75мм), ТУ 23.99.19-033-09559281-2020, ТЕХСТРОНГ - 88шт.;
- Минеральная плита базальтовая, плотностью 50кг/м3 - 828м2;
- Кожух огнезащитный «TEHSTRONG KO», ТУ 23.99.19-030-09559281-2020, ТЕХСТРОНГ - 2164м;
- Траверса монтажная оцинкованная , 30×30×1.5, ТЕХСТРОНГ - 628м;
- Профиль направляющий стальной оцинкованный, 50х40, ТЕХСТРОНГ - 8598м</t>
        </is>
      </c>
      <c r="N405" s="46" t="inlineStr">
        <is>
          <t>м2</t>
        </is>
      </c>
      <c r="O405" s="94">
        <f>P405+R405+T405+V405</f>
        <v/>
      </c>
      <c r="P405" s="23" t="n">
        <v>1085.49</v>
      </c>
      <c r="Q405" s="23" t="n"/>
      <c r="R405" s="23" t="n"/>
      <c r="S405" s="23" t="n"/>
      <c r="T405" s="23" t="n"/>
      <c r="U405" s="23" t="n"/>
      <c r="V405" s="23" t="n"/>
      <c r="W405" s="46" t="n"/>
      <c r="X405" s="23" t="n"/>
      <c r="Y405" s="23" t="n"/>
      <c r="Z405" s="23" t="n"/>
      <c r="AA405" s="48" t="inlineStr">
        <is>
          <t>В составе указан общий объем материалов на 1085,49м2 короба</t>
        </is>
      </c>
      <c r="AB405" s="179" t="n"/>
      <c r="AC405" s="180" t="n"/>
      <c r="AD405" s="189">
        <f>SUM(AB405:AC405)</f>
        <v/>
      </c>
      <c r="AE405" s="189">
        <f>AB405*$O405</f>
        <v/>
      </c>
      <c r="AF405" s="189">
        <f>AC405*$O405</f>
        <v/>
      </c>
      <c r="AG405" s="189">
        <f>SUM(AE405:AF405)</f>
        <v/>
      </c>
      <c r="AH405" s="195" t="n"/>
    </row>
    <row r="406" outlineLevel="1">
      <c r="A406" s="18" t="n"/>
      <c r="B406" s="11">
        <f>IF($K406=B$8,1+IF(OFFSET(B406,-1,0)="",0,OFFSET(B406,-1,0)),IF(B$8&lt;$K406,IF(OFFSET(B406,-1,0)="","ERR",OFFSET(B406,-1,0)),""))</f>
        <v/>
      </c>
      <c r="C406" s="11">
        <f>IF($K406=C$8,1+IF(OFFSET(C406,-1,0)="",0,OFFSET(C406,-1,0)),IF(C$8&lt;$K406,IF(OFFSET(C406,-1,0)="","ERR",OFFSET(C406,-1,0)),""))</f>
        <v/>
      </c>
      <c r="D406" s="11">
        <f>IF($K406=D$8,1+IF(OFFSET(D406,-1,0)="",0,OFFSET(D406,-1,0)),IF(D$8&lt;$K406,IF(OFFSET(D406,-1,0)="","ERR",OFFSET(D406,-1,0)),""))</f>
        <v/>
      </c>
      <c r="E406" s="11">
        <f>IF($K406=E$8,1+IF(OFFSET(E406,-1,0)="",0,OFFSET(E406,-1,0)),IF(E$8&lt;$K406,IF(OFFSET(E406,-1,0)="","ERR",OFFSET(E406,-1,0)),""))</f>
        <v/>
      </c>
      <c r="F406" s="11">
        <f>IF($K406=F$8,1+IF(OFFSET(F406,-1,0)="",0,OFFSET(F406,-1,0)),IF(F$8&lt;$K406,IF(OFFSET(F406,-1,0)="","ERR",OFFSET(F406,-1,0)),""))</f>
        <v/>
      </c>
      <c r="G406" s="11">
        <f>IF($K406=G$8,1+IF(OFFSET(G406,-1,0)="",0,OFFSET(G406,-1,0)),IF(G$8&lt;$K406,IF(OFFSET(G406,-1,0)="","ERR",OFFSET(G406,-1,0)),""))</f>
        <v/>
      </c>
      <c r="H406" s="11">
        <f>IF($K406=H$8,1+IF(OFFSET(H406,-1,0)="",0,OFFSET(H406,-1,0)),IF(H$8&lt;$K406,IF(OFFSET(H406,-1,0)="","ERR",OFFSET(H406,-1,0)),""))</f>
        <v/>
      </c>
      <c r="I406" s="11">
        <f>IF($K406=I$8,1+IF(OFFSET(I406,-1,0)="",0,OFFSET(I406,-1,0)),IF(I$8&lt;$K406,IF(OFFSET(I406,-1,0)="","ERR",OFFSET(I406,-1,0)),""))</f>
        <v/>
      </c>
      <c r="J406" s="43">
        <f>_xlfn.TEXTJOIN(".",1,B406:I406)</f>
        <v/>
      </c>
      <c r="K406" s="43" t="inlineStr">
        <is>
          <t>Л5</t>
        </is>
      </c>
      <c r="L406" s="43" t="inlineStr">
        <is>
          <t>3.3.3.15.5</t>
        </is>
      </c>
      <c r="M406" s="44" t="inlineStr">
        <is>
          <t>Трубы, гофра</t>
        </is>
      </c>
      <c r="N406" s="43" t="n"/>
      <c r="O406" s="9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  <c r="AA406" s="45" t="n"/>
      <c r="AB406" s="185" t="n"/>
      <c r="AC406" s="186" t="n"/>
      <c r="AD406" s="186" t="n"/>
      <c r="AE406" s="186" t="n"/>
      <c r="AF406" s="186" t="n"/>
      <c r="AG406" s="186" t="n"/>
      <c r="AH406" s="178" t="n"/>
    </row>
    <row r="407" outlineLevel="1" ht="41.25" customHeight="1">
      <c r="A407" s="18" t="inlineStr">
        <is>
          <t>О</t>
        </is>
      </c>
      <c r="B407" s="11">
        <f>IF($K407=B$8,1+IF(OFFSET(B407,-1,0)="",0,OFFSET(B407,-1,0)),IF(B$8&lt;$K407,IF(OFFSET(B407,-1,0)="","ERR",OFFSET(B407,-1,0)),""))</f>
        <v/>
      </c>
      <c r="C407" s="11">
        <f>IF($K407=C$8,1+IF(OFFSET(C407,-1,0)="",0,OFFSET(C407,-1,0)),IF(C$8&lt;$K407,IF(OFFSET(C407,-1,0)="","ERR",OFFSET(C407,-1,0)),""))</f>
        <v/>
      </c>
      <c r="D407" s="11">
        <f>IF($K407=D$8,1+IF(OFFSET(D407,-1,0)="",0,OFFSET(D407,-1,0)),IF(D$8&lt;$K407,IF(OFFSET(D407,-1,0)="","ERR",OFFSET(D407,-1,0)),""))</f>
        <v/>
      </c>
      <c r="E407" s="11">
        <f>IF($K407=E$8,1+IF(OFFSET(E407,-1,0)="",0,OFFSET(E407,-1,0)),IF(E$8&lt;$K407,IF(OFFSET(E407,-1,0)="","ERR",OFFSET(E407,-1,0)),""))</f>
        <v/>
      </c>
      <c r="F407" s="11">
        <f>IF($K407=F$8,1+IF(OFFSET(F407,-1,0)="",0,OFFSET(F407,-1,0)),IF(F$8&lt;$K407,IF(OFFSET(F407,-1,0)="","ERR",OFFSET(F407,-1,0)),""))</f>
        <v/>
      </c>
      <c r="G407" s="11">
        <f>IF($K407=G$8,1+IF(OFFSET(G407,-1,0)="",0,OFFSET(G407,-1,0)),IF(G$8&lt;$K407,IF(OFFSET(G407,-1,0)="","ERR",OFFSET(G407,-1,0)),""))</f>
        <v/>
      </c>
      <c r="H407" s="11">
        <f>IF($K407=H$8,1+IF(OFFSET(H407,-1,0)="",0,OFFSET(H407,-1,0)),IF(H$8&lt;$K407,IF(OFFSET(H407,-1,0)="","ERR",OFFSET(H407,-1,0)),""))</f>
        <v/>
      </c>
      <c r="I407" s="11">
        <f>IF($K407=I$8,1+IF(OFFSET(I407,-1,0)="",0,OFFSET(I407,-1,0)),IF(I$8&lt;$K407,IF(OFFSET(I407,-1,0)="","ERR",OFFSET(I407,-1,0)),""))</f>
        <v/>
      </c>
      <c r="J407" s="46">
        <f>_xlfn.TEXTJOIN(".",1,B407:I407)</f>
        <v/>
      </c>
      <c r="K407" s="46" t="inlineStr">
        <is>
          <t>Л6</t>
        </is>
      </c>
      <c r="L407" s="46" t="inlineStr">
        <is>
          <t>3.3.3.15.5.3</t>
        </is>
      </c>
      <c r="M407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 ø48,3х3.0 (Dн=48,3мм, толщина стенки=3мм) , ГОСТ 10704-91 , ТМК</t>
        </is>
      </c>
      <c r="N407" s="46" t="inlineStr">
        <is>
          <t>пог. м</t>
        </is>
      </c>
      <c r="O407" s="94">
        <f>P407+R407+T407+V407</f>
        <v/>
      </c>
      <c r="P407" s="23" t="n">
        <v>264</v>
      </c>
      <c r="Q407" s="23" t="n"/>
      <c r="R407" s="23" t="n"/>
      <c r="S407" s="23" t="n"/>
      <c r="T407" s="23" t="n"/>
      <c r="U407" s="23" t="n"/>
      <c r="V407" s="23" t="n"/>
      <c r="W407" s="46" t="n"/>
      <c r="X407" s="23" t="n"/>
      <c r="Y407" s="23" t="n"/>
      <c r="Z407" s="23" t="n"/>
      <c r="AA407" s="48" t="inlineStr">
        <is>
          <t>В т.ч.: Уголок металлический 45х45х3, ГОСТ 8509-93, Металлинвест - 66м</t>
        </is>
      </c>
      <c r="AB407" s="179" t="n"/>
      <c r="AC407" s="180" t="n"/>
      <c r="AD407" s="189">
        <f>SUM(AB407:AC407)</f>
        <v/>
      </c>
      <c r="AE407" s="189">
        <f>AB407*$O407</f>
        <v/>
      </c>
      <c r="AF407" s="189">
        <f>AC407*$O407</f>
        <v/>
      </c>
      <c r="AG407" s="189">
        <f>SUM(AE407:AF407)</f>
        <v/>
      </c>
      <c r="AH407" s="195" t="n"/>
    </row>
    <row r="408">
      <c r="A408" s="18" t="n"/>
      <c r="B408" s="11">
        <f>IF($K408=B$8,1+IF(OFFSET(B408,-1,0)="",0,OFFSET(B408,-1,0)),IF(B$8&lt;$K408,IF(OFFSET(B408,-1,0)="","ERR",OFFSET(B408,-1,0)),""))</f>
        <v/>
      </c>
      <c r="C408" s="11">
        <f>IF($K408=C$8,1+IF(OFFSET(C408,-1,0)="",0,OFFSET(C408,-1,0)),IF(C$8&lt;$K408,IF(OFFSET(C408,-1,0)="","ERR",OFFSET(C408,-1,0)),""))</f>
        <v/>
      </c>
      <c r="D408" s="11">
        <f>IF($K408=D$8,1+IF(OFFSET(D408,-1,0)="",0,OFFSET(D408,-1,0)),IF(D$8&lt;$K408,IF(OFFSET(D408,-1,0)="","ERR",OFFSET(D408,-1,0)),""))</f>
        <v/>
      </c>
      <c r="E408" s="11">
        <f>IF($K408=E$8,1+IF(OFFSET(E408,-1,0)="",0,OFFSET(E408,-1,0)),IF(E$8&lt;$K408,IF(OFFSET(E408,-1,0)="","ERR",OFFSET(E408,-1,0)),""))</f>
        <v/>
      </c>
      <c r="F408" s="11">
        <f>IF($K408=F$8,1+IF(OFFSET(F408,-1,0)="",0,OFFSET(F408,-1,0)),IF(F$8&lt;$K408,IF(OFFSET(F408,-1,0)="","ERR",OFFSET(F408,-1,0)),""))</f>
        <v/>
      </c>
      <c r="G408" s="11">
        <f>IF($K408=G$8,1+IF(OFFSET(G408,-1,0)="",0,OFFSET(G408,-1,0)),IF(G$8&lt;$K408,IF(OFFSET(G408,-1,0)="","ERR",OFFSET(G408,-1,0)),""))</f>
        <v/>
      </c>
      <c r="H408" s="11">
        <f>IF($K408=H$8,1+IF(OFFSET(H408,-1,0)="",0,OFFSET(H408,-1,0)),IF(H$8&lt;$K408,IF(OFFSET(H408,-1,0)="","ERR",OFFSET(H408,-1,0)),""))</f>
        <v/>
      </c>
      <c r="I408" s="11">
        <f>IF($K408=I$8,1+IF(OFFSET(I408,-1,0)="",0,OFFSET(I408,-1,0)),IF(I$8&lt;$K408,IF(OFFSET(I408,-1,0)="","ERR",OFFSET(I408,-1,0)),""))</f>
        <v/>
      </c>
      <c r="J408" s="40">
        <f>_xlfn.TEXTJOIN(".",1,B408:I408)</f>
        <v/>
      </c>
      <c r="K408" s="40" t="inlineStr">
        <is>
          <t>Л4</t>
        </is>
      </c>
      <c r="L408" s="40" t="inlineStr">
        <is>
          <t>3.3.3.21</t>
        </is>
      </c>
      <c r="M408" s="41" t="inlineStr">
        <is>
          <t>ПА: Противопожарная автоматика</t>
        </is>
      </c>
      <c r="N408" s="40" t="n"/>
      <c r="O408" s="92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2" t="inlineStr">
        <is>
          <t>ПТ-082022-23-Р-АСПЗ0</t>
        </is>
      </c>
      <c r="AB408" s="183" t="n"/>
      <c r="AC408" s="184" t="n"/>
      <c r="AD408" s="184" t="n"/>
      <c r="AE408" s="184" t="n"/>
      <c r="AF408" s="184" t="n"/>
      <c r="AG408" s="184" t="n"/>
      <c r="AH408" s="175" t="n"/>
    </row>
    <row r="409" outlineLevel="1">
      <c r="A409" s="18" t="n"/>
      <c r="B409" s="11">
        <f>IF($K409=B$8,1+IF(OFFSET(B409,-1,0)="",0,OFFSET(B409,-1,0)),IF(B$8&lt;$K409,IF(OFFSET(B409,-1,0)="","ERR",OFFSET(B409,-1,0)),""))</f>
        <v/>
      </c>
      <c r="C409" s="11">
        <f>IF($K409=C$8,1+IF(OFFSET(C409,-1,0)="",0,OFFSET(C409,-1,0)),IF(C$8&lt;$K409,IF(OFFSET(C409,-1,0)="","ERR",OFFSET(C409,-1,0)),""))</f>
        <v/>
      </c>
      <c r="D409" s="11">
        <f>IF($K409=D$8,1+IF(OFFSET(D409,-1,0)="",0,OFFSET(D409,-1,0)),IF(D$8&lt;$K409,IF(OFFSET(D409,-1,0)="","ERR",OFFSET(D409,-1,0)),""))</f>
        <v/>
      </c>
      <c r="E409" s="11">
        <f>IF($K409=E$8,1+IF(OFFSET(E409,-1,0)="",0,OFFSET(E409,-1,0)),IF(E$8&lt;$K409,IF(OFFSET(E409,-1,0)="","ERR",OFFSET(E409,-1,0)),""))</f>
        <v/>
      </c>
      <c r="F409" s="11">
        <f>IF($K409=F$8,1+IF(OFFSET(F409,-1,0)="",0,OFFSET(F409,-1,0)),IF(F$8&lt;$K409,IF(OFFSET(F409,-1,0)="","ERR",OFFSET(F409,-1,0)),""))</f>
        <v/>
      </c>
      <c r="G409" s="11">
        <f>IF($K409=G$8,1+IF(OFFSET(G409,-1,0)="",0,OFFSET(G409,-1,0)),IF(G$8&lt;$K409,IF(OFFSET(G409,-1,0)="","ERR",OFFSET(G409,-1,0)),""))</f>
        <v/>
      </c>
      <c r="H409" s="11">
        <f>IF($K409=H$8,1+IF(OFFSET(H409,-1,0)="",0,OFFSET(H409,-1,0)),IF(H$8&lt;$K409,IF(OFFSET(H409,-1,0)="","ERR",OFFSET(H409,-1,0)),""))</f>
        <v/>
      </c>
      <c r="I409" s="11">
        <f>IF($K409=I$8,1+IF(OFFSET(I409,-1,0)="",0,OFFSET(I409,-1,0)),IF(I$8&lt;$K409,IF(OFFSET(I409,-1,0)="","ERR",OFFSET(I409,-1,0)),""))</f>
        <v/>
      </c>
      <c r="J409" s="43">
        <f>_xlfn.TEXTJOIN(".",1,B409:I409)</f>
        <v/>
      </c>
      <c r="K409" s="43" t="inlineStr">
        <is>
          <t>Л5</t>
        </is>
      </c>
      <c r="L409" s="43" t="inlineStr">
        <is>
          <t>3.3.3.21.1</t>
        </is>
      </c>
      <c r="M409" s="44" t="inlineStr">
        <is>
          <t>Шкафы автоматизации и управления</t>
        </is>
      </c>
      <c r="N409" s="43" t="n"/>
      <c r="O409" s="9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  <c r="AA409" s="45" t="n"/>
      <c r="AB409" s="185" t="n"/>
      <c r="AC409" s="186" t="n"/>
      <c r="AD409" s="186" t="n"/>
      <c r="AE409" s="186" t="n"/>
      <c r="AF409" s="186" t="n"/>
      <c r="AG409" s="186" t="n"/>
      <c r="AH409" s="178" t="n"/>
    </row>
    <row r="410" outlineLevel="1">
      <c r="A410" s="18" t="inlineStr">
        <is>
          <t>О</t>
        </is>
      </c>
      <c r="B410" s="11">
        <f>IF($K410=B$8,1+IF(OFFSET(B410,-1,0)="",0,OFFSET(B410,-1,0)),IF(B$8&lt;$K410,IF(OFFSET(B410,-1,0)="","ERR",OFFSET(B410,-1,0)),""))</f>
        <v/>
      </c>
      <c r="C410" s="11">
        <f>IF($K410=C$8,1+IF(OFFSET(C410,-1,0)="",0,OFFSET(C410,-1,0)),IF(C$8&lt;$K410,IF(OFFSET(C410,-1,0)="","ERR",OFFSET(C410,-1,0)),""))</f>
        <v/>
      </c>
      <c r="D410" s="11">
        <f>IF($K410=D$8,1+IF(OFFSET(D410,-1,0)="",0,OFFSET(D410,-1,0)),IF(D$8&lt;$K410,IF(OFFSET(D410,-1,0)="","ERR",OFFSET(D410,-1,0)),""))</f>
        <v/>
      </c>
      <c r="E410" s="11">
        <f>IF($K410=E$8,1+IF(OFFSET(E410,-1,0)="",0,OFFSET(E410,-1,0)),IF(E$8&lt;$K410,IF(OFFSET(E410,-1,0)="","ERR",OFFSET(E410,-1,0)),""))</f>
        <v/>
      </c>
      <c r="F410" s="11">
        <f>IF($K410=F$8,1+IF(OFFSET(F410,-1,0)="",0,OFFSET(F410,-1,0)),IF(F$8&lt;$K410,IF(OFFSET(F410,-1,0)="","ERR",OFFSET(F410,-1,0)),""))</f>
        <v/>
      </c>
      <c r="G410" s="11">
        <f>IF($K410=G$8,1+IF(OFFSET(G410,-1,0)="",0,OFFSET(G410,-1,0)),IF(G$8&lt;$K410,IF(OFFSET(G410,-1,0)="","ERR",OFFSET(G410,-1,0)),""))</f>
        <v/>
      </c>
      <c r="H410" s="11">
        <f>IF($K410=H$8,1+IF(OFFSET(H410,-1,0)="",0,OFFSET(H410,-1,0)),IF(H$8&lt;$K410,IF(OFFSET(H410,-1,0)="","ERR",OFFSET(H410,-1,0)),""))</f>
        <v/>
      </c>
      <c r="I410" s="11">
        <f>IF($K410=I$8,1+IF(OFFSET(I410,-1,0)="",0,OFFSET(I410,-1,0)),IF(I$8&lt;$K410,IF(OFFSET(I410,-1,0)="","ERR",OFFSET(I410,-1,0)),""))</f>
        <v/>
      </c>
      <c r="J410" s="46">
        <f>_xlfn.TEXTJOIN(".",1,B410:I410)</f>
        <v/>
      </c>
      <c r="K410" s="46" t="inlineStr">
        <is>
          <t>Л6</t>
        </is>
      </c>
      <c r="L410" s="46" t="inlineStr">
        <is>
          <t>3.3.3.21.1.1</t>
        </is>
      </c>
      <c r="M410" s="47" t="inlineStr">
        <is>
          <t>Установка шкафа управления (ШУН/В) комплектного навесного:</t>
        </is>
      </c>
      <c r="N410" s="46" t="inlineStr">
        <is>
          <t>компл</t>
        </is>
      </c>
      <c r="O410" s="94">
        <f>P410+Q410+S410+V410</f>
        <v/>
      </c>
      <c r="P410" s="46">
        <f>SUM(P411:P415)</f>
        <v/>
      </c>
      <c r="Q410" s="46">
        <f>SUM(Q411:Q415)</f>
        <v/>
      </c>
      <c r="R410" s="46">
        <f>SUM(R411:R415)</f>
        <v/>
      </c>
      <c r="S410" s="46">
        <f>SUM(S411:S415)</f>
        <v/>
      </c>
      <c r="T410" s="46">
        <f>SUM(T411:T415)</f>
        <v/>
      </c>
      <c r="U410" s="46">
        <f>SUM(U411:U415)</f>
        <v/>
      </c>
      <c r="V410" s="46">
        <f>SUM(V411:V415)</f>
        <v/>
      </c>
      <c r="W410" s="46" t="n"/>
      <c r="X410" s="46" t="n"/>
      <c r="Y410" s="46" t="n"/>
      <c r="Z410" s="46" t="n"/>
      <c r="AA410" s="48" t="n"/>
      <c r="AB410" s="187" t="n"/>
      <c r="AC410" s="180" t="n">
        <v>30000</v>
      </c>
      <c r="AD410" s="189">
        <f>SUM(AB410:AC410)</f>
        <v/>
      </c>
      <c r="AE410" s="189">
        <f>AB410*$O410</f>
        <v/>
      </c>
      <c r="AF410" s="189">
        <f>AC410*$O410</f>
        <v/>
      </c>
      <c r="AG410" s="189">
        <f>SUM(AE410:AF410)</f>
        <v/>
      </c>
      <c r="AH410" s="182" t="n"/>
    </row>
    <row r="411" outlineLevel="1">
      <c r="A411" s="18" t="inlineStr">
        <is>
          <t>О</t>
        </is>
      </c>
      <c r="B411" s="11">
        <f>IF($K411=B$8,1+IF(OFFSET(B411,-1,0)="",0,OFFSET(B411,-1,0)),IF(B$8&lt;$K411,IF(OFFSET(B411,-1,0)="","ERR",OFFSET(B411,-1,0)),""))</f>
        <v/>
      </c>
      <c r="C411" s="11">
        <f>IF($K411=C$8,1+IF(OFFSET(C411,-1,0)="",0,OFFSET(C411,-1,0)),IF(C$8&lt;$K411,IF(OFFSET(C411,-1,0)="","ERR",OFFSET(C411,-1,0)),""))</f>
        <v/>
      </c>
      <c r="D411" s="11">
        <f>IF($K411=D$8,1+IF(OFFSET(D411,-1,0)="",0,OFFSET(D411,-1,0)),IF(D$8&lt;$K411,IF(OFFSET(D411,-1,0)="","ERR",OFFSET(D411,-1,0)),""))</f>
        <v/>
      </c>
      <c r="E411" s="11">
        <f>IF($K411=E$8,1+IF(OFFSET(E411,-1,0)="",0,OFFSET(E411,-1,0)),IF(E$8&lt;$K411,IF(OFFSET(E411,-1,0)="","ERR",OFFSET(E411,-1,0)),""))</f>
        <v/>
      </c>
      <c r="F411" s="11">
        <f>IF($K411=F$8,1+IF(OFFSET(F411,-1,0)="",0,OFFSET(F411,-1,0)),IF(F$8&lt;$K411,IF(OFFSET(F411,-1,0)="","ERR",OFFSET(F411,-1,0)),""))</f>
        <v/>
      </c>
      <c r="G411" s="11">
        <f>IF($K411=G$8,1+IF(OFFSET(G411,-1,0)="",0,OFFSET(G411,-1,0)),IF(G$8&lt;$K411,IF(OFFSET(G411,-1,0)="","ERR",OFFSET(G411,-1,0)),""))</f>
        <v/>
      </c>
      <c r="H411" s="11">
        <f>IF($K411=H$8,1+IF(OFFSET(H411,-1,0)="",0,OFFSET(H411,-1,0)),IF(H$8&lt;$K411,IF(OFFSET(H411,-1,0)="","ERR",OFFSET(H411,-1,0)),""))</f>
        <v/>
      </c>
      <c r="I411" s="11">
        <f>IF($K411=I$8,1+IF(OFFSET(I411,-1,0)="",0,OFFSET(I411,-1,0)),IF(I$8&lt;$K411,IF(OFFSET(I411,-1,0)="","ERR",OFFSET(I411,-1,0)),""))</f>
        <v/>
      </c>
      <c r="J411" s="49">
        <f>_xlfn.TEXTJOIN(".",1,B411:I411)</f>
        <v/>
      </c>
      <c r="K411" s="49" t="inlineStr">
        <is>
          <t>Л7</t>
        </is>
      </c>
      <c r="L411" s="49" t="inlineStr">
        <is>
          <t>3.3.3.21.1.1</t>
        </is>
      </c>
      <c r="M411" s="63" t="inlineStr">
        <is>
          <t>Шкаф управления электроприводной задвижкой, ШУЗ-3-00-R3 (IP54)</t>
        </is>
      </c>
      <c r="N411" s="49" t="inlineStr">
        <is>
          <t>компл</t>
        </is>
      </c>
      <c r="O411" s="50">
        <f>P411+Q411+S411+V411</f>
        <v/>
      </c>
      <c r="P411" s="49" t="n">
        <v>2</v>
      </c>
      <c r="Q411" s="49" t="n"/>
      <c r="R411" s="49" t="n"/>
      <c r="S411" s="49" t="n"/>
      <c r="T411" s="49" t="n"/>
      <c r="U411" s="49" t="n"/>
      <c r="V411" s="49" t="n"/>
      <c r="W411" s="50" t="n">
        <v>1</v>
      </c>
      <c r="X411" s="26" t="n">
        <v>1659174829</v>
      </c>
      <c r="Y411" s="26" t="n">
        <v>165901001</v>
      </c>
      <c r="Z411" s="26" t="inlineStr">
        <is>
          <t xml:space="preserve"> "ТК "РУТЕК"</t>
        </is>
      </c>
      <c r="AA411" s="51" t="inlineStr">
        <is>
          <t>ГТ</t>
        </is>
      </c>
      <c r="AB411" s="188" t="n"/>
      <c r="AC411" s="189" t="n"/>
      <c r="AD411" s="190">
        <f>SUM(AB411:AC411)</f>
        <v/>
      </c>
      <c r="AE411" s="190">
        <f>AB411*$O411*$W411</f>
        <v/>
      </c>
      <c r="AF411" s="190">
        <f>AC411*$O411*$W411</f>
        <v/>
      </c>
      <c r="AG411" s="190">
        <f>SUM(AE411:AF411)</f>
        <v/>
      </c>
      <c r="AH411" s="182" t="n"/>
    </row>
    <row r="412" outlineLevel="1">
      <c r="A412" s="18" t="inlineStr">
        <is>
          <t>О</t>
        </is>
      </c>
      <c r="B412" s="11">
        <f>IF($K412=B$8,1+IF(OFFSET(B412,-1,0)="",0,OFFSET(B412,-1,0)),IF(B$8&lt;$K412,IF(OFFSET(B412,-1,0)="","ERR",OFFSET(B412,-1,0)),""))</f>
        <v/>
      </c>
      <c r="C412" s="11">
        <f>IF($K412=C$8,1+IF(OFFSET(C412,-1,0)="",0,OFFSET(C412,-1,0)),IF(C$8&lt;$K412,IF(OFFSET(C412,-1,0)="","ERR",OFFSET(C412,-1,0)),""))</f>
        <v/>
      </c>
      <c r="D412" s="11">
        <f>IF($K412=D$8,1+IF(OFFSET(D412,-1,0)="",0,OFFSET(D412,-1,0)),IF(D$8&lt;$K412,IF(OFFSET(D412,-1,0)="","ERR",OFFSET(D412,-1,0)),""))</f>
        <v/>
      </c>
      <c r="E412" s="11">
        <f>IF($K412=E$8,1+IF(OFFSET(E412,-1,0)="",0,OFFSET(E412,-1,0)),IF(E$8&lt;$K412,IF(OFFSET(E412,-1,0)="","ERR",OFFSET(E412,-1,0)),""))</f>
        <v/>
      </c>
      <c r="F412" s="11">
        <f>IF($K412=F$8,1+IF(OFFSET(F412,-1,0)="",0,OFFSET(F412,-1,0)),IF(F$8&lt;$K412,IF(OFFSET(F412,-1,0)="","ERR",OFFSET(F412,-1,0)),""))</f>
        <v/>
      </c>
      <c r="G412" s="11">
        <f>IF($K412=G$8,1+IF(OFFSET(G412,-1,0)="",0,OFFSET(G412,-1,0)),IF(G$8&lt;$K412,IF(OFFSET(G412,-1,0)="","ERR",OFFSET(G412,-1,0)),""))</f>
        <v/>
      </c>
      <c r="H412" s="11">
        <f>IF($K412=H$8,1+IF(OFFSET(H412,-1,0)="",0,OFFSET(H412,-1,0)),IF(H$8&lt;$K412,IF(OFFSET(H412,-1,0)="","ERR",OFFSET(H412,-1,0)),""))</f>
        <v/>
      </c>
      <c r="I412" s="11">
        <f>IF($K412=I$8,1+IF(OFFSET(I412,-1,0)="",0,OFFSET(I412,-1,0)),IF(I$8&lt;$K412,IF(OFFSET(I412,-1,0)="","ERR",OFFSET(I412,-1,0)),""))</f>
        <v/>
      </c>
      <c r="J412" s="49">
        <f>_xlfn.TEXTJOIN(".",1,B412:I412)</f>
        <v/>
      </c>
      <c r="K412" s="49" t="inlineStr">
        <is>
          <t>Л7</t>
        </is>
      </c>
      <c r="L412" s="49" t="inlineStr">
        <is>
          <t>3.3.3.21.1.1</t>
        </is>
      </c>
      <c r="M412" s="63" t="inlineStr">
        <is>
          <t>Шкаф управления пожарный ШУН/В-R3 на 1,5 кВт, ШУВ-1,5-03-R3</t>
        </is>
      </c>
      <c r="N412" s="49" t="inlineStr">
        <is>
          <t>компл</t>
        </is>
      </c>
      <c r="O412" s="50">
        <f>P412+Q412+S412+V412</f>
        <v/>
      </c>
      <c r="P412" s="49" t="n">
        <v>1</v>
      </c>
      <c r="Q412" s="49" t="n">
        <v>2</v>
      </c>
      <c r="R412" s="49" t="n">
        <v>2</v>
      </c>
      <c r="S412" s="49" t="n">
        <v>2</v>
      </c>
      <c r="T412" s="49" t="n">
        <v>2</v>
      </c>
      <c r="U412" s="49" t="n">
        <v>3</v>
      </c>
      <c r="V412" s="49" t="n">
        <v>3</v>
      </c>
      <c r="W412" s="50" t="n">
        <v>1</v>
      </c>
      <c r="X412" s="26" t="n">
        <v>1659174829</v>
      </c>
      <c r="Y412" s="26" t="n">
        <v>165901001</v>
      </c>
      <c r="Z412" s="26" t="inlineStr">
        <is>
          <t xml:space="preserve"> "ТК "РУТЕК"</t>
        </is>
      </c>
      <c r="AA412" s="51" t="inlineStr">
        <is>
          <t>ГТ</t>
        </is>
      </c>
      <c r="AB412" s="188" t="n"/>
      <c r="AC412" s="189" t="n"/>
      <c r="AD412" s="190">
        <f>SUM(AB412:AC412)</f>
        <v/>
      </c>
      <c r="AE412" s="190">
        <f>AB412*$O412*$W412</f>
        <v/>
      </c>
      <c r="AF412" s="190">
        <f>AC412*$O412*$W412</f>
        <v/>
      </c>
      <c r="AG412" s="190">
        <f>SUM(AE412:AF412)</f>
        <v/>
      </c>
      <c r="AH412" s="182" t="n"/>
    </row>
    <row r="413" outlineLevel="1">
      <c r="A413" s="18" t="inlineStr">
        <is>
          <t>О</t>
        </is>
      </c>
      <c r="B413" s="11">
        <f>IF($K413=B$8,1+IF(OFFSET(B413,-1,0)="",0,OFFSET(B413,-1,0)),IF(B$8&lt;$K413,IF(OFFSET(B413,-1,0)="","ERR",OFFSET(B413,-1,0)),""))</f>
        <v/>
      </c>
      <c r="C413" s="11">
        <f>IF($K413=C$8,1+IF(OFFSET(C413,-1,0)="",0,OFFSET(C413,-1,0)),IF(C$8&lt;$K413,IF(OFFSET(C413,-1,0)="","ERR",OFFSET(C413,-1,0)),""))</f>
        <v/>
      </c>
      <c r="D413" s="11">
        <f>IF($K413=D$8,1+IF(OFFSET(D413,-1,0)="",0,OFFSET(D413,-1,0)),IF(D$8&lt;$K413,IF(OFFSET(D413,-1,0)="","ERR",OFFSET(D413,-1,0)),""))</f>
        <v/>
      </c>
      <c r="E413" s="11">
        <f>IF($K413=E$8,1+IF(OFFSET(E413,-1,0)="",0,OFFSET(E413,-1,0)),IF(E$8&lt;$K413,IF(OFFSET(E413,-1,0)="","ERR",OFFSET(E413,-1,0)),""))</f>
        <v/>
      </c>
      <c r="F413" s="11">
        <f>IF($K413=F$8,1+IF(OFFSET(F413,-1,0)="",0,OFFSET(F413,-1,0)),IF(F$8&lt;$K413,IF(OFFSET(F413,-1,0)="","ERR",OFFSET(F413,-1,0)),""))</f>
        <v/>
      </c>
      <c r="G413" s="11">
        <f>IF($K413=G$8,1+IF(OFFSET(G413,-1,0)="",0,OFFSET(G413,-1,0)),IF(G$8&lt;$K413,IF(OFFSET(G413,-1,0)="","ERR",OFFSET(G413,-1,0)),""))</f>
        <v/>
      </c>
      <c r="H413" s="11">
        <f>IF($K413=H$8,1+IF(OFFSET(H413,-1,0)="",0,OFFSET(H413,-1,0)),IF(H$8&lt;$K413,IF(OFFSET(H413,-1,0)="","ERR",OFFSET(H413,-1,0)),""))</f>
        <v/>
      </c>
      <c r="I413" s="11">
        <f>IF($K413=I$8,1+IF(OFFSET(I413,-1,0)="",0,OFFSET(I413,-1,0)),IF(I$8&lt;$K413,IF(OFFSET(I413,-1,0)="","ERR",OFFSET(I413,-1,0)),""))</f>
        <v/>
      </c>
      <c r="J413" s="49">
        <f>_xlfn.TEXTJOIN(".",1,B413:I413)</f>
        <v/>
      </c>
      <c r="K413" s="49" t="inlineStr">
        <is>
          <t>Л7</t>
        </is>
      </c>
      <c r="L413" s="49" t="inlineStr">
        <is>
          <t>3.3.3.21.1.1</t>
        </is>
      </c>
      <c r="M413" s="63" t="inlineStr">
        <is>
          <t>Шкаф управления пожарный ШУН/В-R3 на 3 кВт, ШУВ-3-03-R3</t>
        </is>
      </c>
      <c r="N413" s="49" t="inlineStr">
        <is>
          <t>компл</t>
        </is>
      </c>
      <c r="O413" s="50">
        <f>P413+Q413+S413+V413</f>
        <v/>
      </c>
      <c r="P413" s="49" t="n">
        <v>4</v>
      </c>
      <c r="Q413" s="49" t="n">
        <v>1</v>
      </c>
      <c r="R413" s="49" t="n">
        <v>1</v>
      </c>
      <c r="S413" s="49" t="n">
        <v>1</v>
      </c>
      <c r="T413" s="49" t="n">
        <v>1</v>
      </c>
      <c r="U413" s="49" t="n">
        <v>1</v>
      </c>
      <c r="V413" s="49" t="n">
        <v>1</v>
      </c>
      <c r="W413" s="50" t="n">
        <v>1</v>
      </c>
      <c r="X413" s="26" t="n">
        <v>1659174829</v>
      </c>
      <c r="Y413" s="26" t="n">
        <v>165901001</v>
      </c>
      <c r="Z413" s="26" t="inlineStr">
        <is>
          <t xml:space="preserve"> "ТК "РУТЕК"</t>
        </is>
      </c>
      <c r="AA413" s="51" t="inlineStr">
        <is>
          <t>ГТ</t>
        </is>
      </c>
      <c r="AB413" s="188" t="n"/>
      <c r="AC413" s="189" t="n"/>
      <c r="AD413" s="190">
        <f>SUM(AB413:AC413)</f>
        <v/>
      </c>
      <c r="AE413" s="190">
        <f>AB413*$O413*$W413</f>
        <v/>
      </c>
      <c r="AF413" s="190">
        <f>AC413*$O413*$W413</f>
        <v/>
      </c>
      <c r="AG413" s="190">
        <f>SUM(AE413:AF413)</f>
        <v/>
      </c>
      <c r="AH413" s="182" t="n"/>
    </row>
    <row r="414" outlineLevel="1">
      <c r="A414" s="18" t="inlineStr">
        <is>
          <t>О</t>
        </is>
      </c>
      <c r="B414" s="11">
        <f>IF($K414=B$8,1+IF(OFFSET(B414,-1,0)="",0,OFFSET(B414,-1,0)),IF(B$8&lt;$K414,IF(OFFSET(B414,-1,0)="","ERR",OFFSET(B414,-1,0)),""))</f>
        <v/>
      </c>
      <c r="C414" s="11">
        <f>IF($K414=C$8,1+IF(OFFSET(C414,-1,0)="",0,OFFSET(C414,-1,0)),IF(C$8&lt;$K414,IF(OFFSET(C414,-1,0)="","ERR",OFFSET(C414,-1,0)),""))</f>
        <v/>
      </c>
      <c r="D414" s="11">
        <f>IF($K414=D$8,1+IF(OFFSET(D414,-1,0)="",0,OFFSET(D414,-1,0)),IF(D$8&lt;$K414,IF(OFFSET(D414,-1,0)="","ERR",OFFSET(D414,-1,0)),""))</f>
        <v/>
      </c>
      <c r="E414" s="11">
        <f>IF($K414=E$8,1+IF(OFFSET(E414,-1,0)="",0,OFFSET(E414,-1,0)),IF(E$8&lt;$K414,IF(OFFSET(E414,-1,0)="","ERR",OFFSET(E414,-1,0)),""))</f>
        <v/>
      </c>
      <c r="F414" s="11">
        <f>IF($K414=F$8,1+IF(OFFSET(F414,-1,0)="",0,OFFSET(F414,-1,0)),IF(F$8&lt;$K414,IF(OFFSET(F414,-1,0)="","ERR",OFFSET(F414,-1,0)),""))</f>
        <v/>
      </c>
      <c r="G414" s="11">
        <f>IF($K414=G$8,1+IF(OFFSET(G414,-1,0)="",0,OFFSET(G414,-1,0)),IF(G$8&lt;$K414,IF(OFFSET(G414,-1,0)="","ERR",OFFSET(G414,-1,0)),""))</f>
        <v/>
      </c>
      <c r="H414" s="11">
        <f>IF($K414=H$8,1+IF(OFFSET(H414,-1,0)="",0,OFFSET(H414,-1,0)),IF(H$8&lt;$K414,IF(OFFSET(H414,-1,0)="","ERR",OFFSET(H414,-1,0)),""))</f>
        <v/>
      </c>
      <c r="I414" s="11">
        <f>IF($K414=I$8,1+IF(OFFSET(I414,-1,0)="",0,OFFSET(I414,-1,0)),IF(I$8&lt;$K414,IF(OFFSET(I414,-1,0)="","ERR",OFFSET(I414,-1,0)),""))</f>
        <v/>
      </c>
      <c r="J414" s="49">
        <f>_xlfn.TEXTJOIN(".",1,B414:I414)</f>
        <v/>
      </c>
      <c r="K414" s="49" t="inlineStr">
        <is>
          <t>Л7</t>
        </is>
      </c>
      <c r="L414" s="49" t="inlineStr">
        <is>
          <t>3.3.3.21.1.1</t>
        </is>
      </c>
      <c r="M414" s="63" t="inlineStr">
        <is>
          <t>Шкаф управления пожарный ШУН/В-R3 на 30 кВт с ПЧ, ШУВ-30-03-ПЧ-R3</t>
        </is>
      </c>
      <c r="N414" s="49" t="inlineStr">
        <is>
          <t>компл</t>
        </is>
      </c>
      <c r="O414" s="50">
        <f>P414+Q414+S414+V414</f>
        <v/>
      </c>
      <c r="P414" s="49" t="n">
        <v>5</v>
      </c>
      <c r="Q414" s="49" t="n"/>
      <c r="R414" s="49" t="n"/>
      <c r="S414" s="49" t="n"/>
      <c r="T414" s="49" t="n"/>
      <c r="U414" s="49" t="n"/>
      <c r="V414" s="49" t="n"/>
      <c r="W414" s="50" t="n">
        <v>1</v>
      </c>
      <c r="X414" s="26" t="n">
        <v>1659174829</v>
      </c>
      <c r="Y414" s="26" t="n">
        <v>165901001</v>
      </c>
      <c r="Z414" s="26" t="inlineStr">
        <is>
          <t xml:space="preserve"> "ТК "РУТЕК"</t>
        </is>
      </c>
      <c r="AA414" s="51" t="inlineStr">
        <is>
          <t>ГТ</t>
        </is>
      </c>
      <c r="AB414" s="188" t="n"/>
      <c r="AC414" s="189" t="n"/>
      <c r="AD414" s="190">
        <f>SUM(AB414:AC414)</f>
        <v/>
      </c>
      <c r="AE414" s="190">
        <f>AB414*$O414*$W414</f>
        <v/>
      </c>
      <c r="AF414" s="190">
        <f>AC414*$O414*$W414</f>
        <v/>
      </c>
      <c r="AG414" s="190">
        <f>SUM(AE414:AF414)</f>
        <v/>
      </c>
      <c r="AH414" s="182" t="n"/>
    </row>
    <row r="415" outlineLevel="1" ht="25.5" customHeight="1">
      <c r="A415" s="18" t="inlineStr">
        <is>
          <t>О</t>
        </is>
      </c>
      <c r="B415" s="11">
        <f>IF($K415=B$8,1+IF(OFFSET(B415,-1,0)="",0,OFFSET(B415,-1,0)),IF(B$8&lt;$K415,IF(OFFSET(B415,-1,0)="","ERR",OFFSET(B415,-1,0)),""))</f>
        <v/>
      </c>
      <c r="C415" s="11">
        <f>IF($K415=C$8,1+IF(OFFSET(C415,-1,0)="",0,OFFSET(C415,-1,0)),IF(C$8&lt;$K415,IF(OFFSET(C415,-1,0)="","ERR",OFFSET(C415,-1,0)),""))</f>
        <v/>
      </c>
      <c r="D415" s="11">
        <f>IF($K415=D$8,1+IF(OFFSET(D415,-1,0)="",0,OFFSET(D415,-1,0)),IF(D$8&lt;$K415,IF(OFFSET(D415,-1,0)="","ERR",OFFSET(D415,-1,0)),""))</f>
        <v/>
      </c>
      <c r="E415" s="11">
        <f>IF($K415=E$8,1+IF(OFFSET(E415,-1,0)="",0,OFFSET(E415,-1,0)),IF(E$8&lt;$K415,IF(OFFSET(E415,-1,0)="","ERR",OFFSET(E415,-1,0)),""))</f>
        <v/>
      </c>
      <c r="F415" s="11">
        <f>IF($K415=F$8,1+IF(OFFSET(F415,-1,0)="",0,OFFSET(F415,-1,0)),IF(F$8&lt;$K415,IF(OFFSET(F415,-1,0)="","ERR",OFFSET(F415,-1,0)),""))</f>
        <v/>
      </c>
      <c r="G415" s="11">
        <f>IF($K415=G$8,1+IF(OFFSET(G415,-1,0)="",0,OFFSET(G415,-1,0)),IF(G$8&lt;$K415,IF(OFFSET(G415,-1,0)="","ERR",OFFSET(G415,-1,0)),""))</f>
        <v/>
      </c>
      <c r="H415" s="11">
        <f>IF($K415=H$8,1+IF(OFFSET(H415,-1,0)="",0,OFFSET(H415,-1,0)),IF(H$8&lt;$K415,IF(OFFSET(H415,-1,0)="","ERR",OFFSET(H415,-1,0)),""))</f>
        <v/>
      </c>
      <c r="I415" s="11">
        <f>IF($K415=I$8,1+IF(OFFSET(I415,-1,0)="",0,OFFSET(I415,-1,0)),IF(I$8&lt;$K415,IF(OFFSET(I415,-1,0)="","ERR",OFFSET(I415,-1,0)),""))</f>
        <v/>
      </c>
      <c r="J415" s="49">
        <f>_xlfn.TEXTJOIN(".",1,B415:I415)</f>
        <v/>
      </c>
      <c r="K415" s="49" t="inlineStr">
        <is>
          <t>Л7</t>
        </is>
      </c>
      <c r="L415" s="49" t="inlineStr">
        <is>
          <t>3.3.3.21.1.1</t>
        </is>
      </c>
      <c r="M415" s="63" t="inlineStr">
        <is>
          <t>Шкаф управления пожарный ШУН/В-УК-R3 на 1,5 кВт с функцией управления ТЭНами калорифера на 15 кВт, ШУВ-1,5-03-УК15-R3</t>
        </is>
      </c>
      <c r="N415" s="49" t="inlineStr">
        <is>
          <t>компл</t>
        </is>
      </c>
      <c r="O415" s="50">
        <f>P415+Q415+S415+V415</f>
        <v/>
      </c>
      <c r="P415" s="49" t="n">
        <v>0</v>
      </c>
      <c r="Q415" s="49" t="n">
        <v>1</v>
      </c>
      <c r="R415" s="49" t="n">
        <v>1</v>
      </c>
      <c r="S415" s="49" t="n">
        <v>1</v>
      </c>
      <c r="T415" s="49" t="n">
        <v>1</v>
      </c>
      <c r="U415" s="49" t="n">
        <v>1</v>
      </c>
      <c r="V415" s="49" t="n">
        <v>1</v>
      </c>
      <c r="W415" s="50" t="n">
        <v>1</v>
      </c>
      <c r="X415" s="26" t="n">
        <v>1659174829</v>
      </c>
      <c r="Y415" s="26" t="n">
        <v>165901001</v>
      </c>
      <c r="Z415" s="26" t="inlineStr">
        <is>
          <t xml:space="preserve"> "ТК "РУТЕК"</t>
        </is>
      </c>
      <c r="AA415" s="51" t="inlineStr">
        <is>
          <t>ГТ</t>
        </is>
      </c>
      <c r="AB415" s="188" t="n"/>
      <c r="AC415" s="189" t="n"/>
      <c r="AD415" s="190">
        <f>SUM(AB415:AC415)</f>
        <v/>
      </c>
      <c r="AE415" s="190">
        <f>AB415*$O415*$W415</f>
        <v/>
      </c>
      <c r="AF415" s="190">
        <f>AC415*$O415*$W415</f>
        <v/>
      </c>
      <c r="AG415" s="190">
        <f>SUM(AE415:AF415)</f>
        <v/>
      </c>
      <c r="AH415" s="182" t="n"/>
    </row>
    <row r="416" outlineLevel="1">
      <c r="A416" s="18" t="inlineStr">
        <is>
          <t>О</t>
        </is>
      </c>
      <c r="B416" s="11">
        <f>IF($K416=B$8,1+IF(OFFSET(B416,-1,0)="",0,OFFSET(B416,-1,0)),IF(B$8&lt;$K416,IF(OFFSET(B416,-1,0)="","ERR",OFFSET(B416,-1,0)),""))</f>
        <v/>
      </c>
      <c r="C416" s="11">
        <f>IF($K416=C$8,1+IF(OFFSET(C416,-1,0)="",0,OFFSET(C416,-1,0)),IF(C$8&lt;$K416,IF(OFFSET(C416,-1,0)="","ERR",OFFSET(C416,-1,0)),""))</f>
        <v/>
      </c>
      <c r="D416" s="11">
        <f>IF($K416=D$8,1+IF(OFFSET(D416,-1,0)="",0,OFFSET(D416,-1,0)),IF(D$8&lt;$K416,IF(OFFSET(D416,-1,0)="","ERR",OFFSET(D416,-1,0)),""))</f>
        <v/>
      </c>
      <c r="E416" s="11">
        <f>IF($K416=E$8,1+IF(OFFSET(E416,-1,0)="",0,OFFSET(E416,-1,0)),IF(E$8&lt;$K416,IF(OFFSET(E416,-1,0)="","ERR",OFFSET(E416,-1,0)),""))</f>
        <v/>
      </c>
      <c r="F416" s="11">
        <f>IF($K416=F$8,1+IF(OFFSET(F416,-1,0)="",0,OFFSET(F416,-1,0)),IF(F$8&lt;$K416,IF(OFFSET(F416,-1,0)="","ERR",OFFSET(F416,-1,0)),""))</f>
        <v/>
      </c>
      <c r="G416" s="11">
        <f>IF($K416=G$8,1+IF(OFFSET(G416,-1,0)="",0,OFFSET(G416,-1,0)),IF(G$8&lt;$K416,IF(OFFSET(G416,-1,0)="","ERR",OFFSET(G416,-1,0)),""))</f>
        <v/>
      </c>
      <c r="H416" s="11">
        <f>IF($K416=H$8,1+IF(OFFSET(H416,-1,0)="",0,OFFSET(H416,-1,0)),IF(H$8&lt;$K416,IF(OFFSET(H416,-1,0)="","ERR",OFFSET(H416,-1,0)),""))</f>
        <v/>
      </c>
      <c r="I416" s="11">
        <f>IF($K416=I$8,1+IF(OFFSET(I416,-1,0)="",0,OFFSET(I416,-1,0)),IF(I$8&lt;$K416,IF(OFFSET(I416,-1,0)="","ERR",OFFSET(I416,-1,0)),""))</f>
        <v/>
      </c>
      <c r="J416" s="46">
        <f>_xlfn.TEXTJOIN(".",1,B416:I416)</f>
        <v/>
      </c>
      <c r="K416" s="46" t="inlineStr">
        <is>
          <t>Л7</t>
        </is>
      </c>
      <c r="L416" s="46" t="n"/>
      <c r="M416" s="64" t="inlineStr">
        <is>
          <t>Сопутствующие и прочие материалы*</t>
        </is>
      </c>
      <c r="N416" s="46" t="inlineStr">
        <is>
          <t>шт</t>
        </is>
      </c>
      <c r="O416" s="94">
        <f>P416+Q416+S416+V416</f>
        <v/>
      </c>
      <c r="P416" s="46">
        <f>SUM(P411:P415)</f>
        <v/>
      </c>
      <c r="Q416" s="46">
        <f>SUM(Q411:Q415)</f>
        <v/>
      </c>
      <c r="R416" s="46">
        <f>SUM(R411:R415)</f>
        <v/>
      </c>
      <c r="S416" s="46">
        <f>SUM(S411:S415)</f>
        <v/>
      </c>
      <c r="T416" s="46">
        <f>SUM(T411:T415)</f>
        <v/>
      </c>
      <c r="U416" s="46">
        <f>SUM(U411:U415)</f>
        <v/>
      </c>
      <c r="V416" s="46">
        <f>SUM(V411:V415)</f>
        <v/>
      </c>
      <c r="W416" s="46" t="n"/>
      <c r="X416" s="46" t="n"/>
      <c r="Y416" s="46" t="n"/>
      <c r="Z416" s="46" t="n"/>
      <c r="AA416" s="48" t="n"/>
      <c r="AB416" s="179" t="n"/>
      <c r="AC416" s="189" t="n"/>
      <c r="AD416" s="189">
        <f>SUM(AB416:AC416)</f>
        <v/>
      </c>
      <c r="AE416" s="189">
        <f>AB416*$O416</f>
        <v/>
      </c>
      <c r="AF416" s="189">
        <f>AC416*$O416</f>
        <v/>
      </c>
      <c r="AG416" s="189">
        <f>SUM(AE416:AF416)</f>
        <v/>
      </c>
      <c r="AH416" s="182" t="n"/>
    </row>
    <row r="417" outlineLevel="1">
      <c r="A417" s="18" t="n"/>
      <c r="B417" s="11">
        <f>IF($K417=B$8,1+IF(OFFSET(B417,-1,0)="",0,OFFSET(B417,-1,0)),IF(B$8&lt;$K417,IF(OFFSET(B417,-1,0)="","ERR",OFFSET(B417,-1,0)),""))</f>
        <v/>
      </c>
      <c r="C417" s="11">
        <f>IF($K417=C$8,1+IF(OFFSET(C417,-1,0)="",0,OFFSET(C417,-1,0)),IF(C$8&lt;$K417,IF(OFFSET(C417,-1,0)="","ERR",OFFSET(C417,-1,0)),""))</f>
        <v/>
      </c>
      <c r="D417" s="11">
        <f>IF($K417=D$8,1+IF(OFFSET(D417,-1,0)="",0,OFFSET(D417,-1,0)),IF(D$8&lt;$K417,IF(OFFSET(D417,-1,0)="","ERR",OFFSET(D417,-1,0)),""))</f>
        <v/>
      </c>
      <c r="E417" s="11">
        <f>IF($K417=E$8,1+IF(OFFSET(E417,-1,0)="",0,OFFSET(E417,-1,0)),IF(E$8&lt;$K417,IF(OFFSET(E417,-1,0)="","ERR",OFFSET(E417,-1,0)),""))</f>
        <v/>
      </c>
      <c r="F417" s="11">
        <f>IF($K417=F$8,1+IF(OFFSET(F417,-1,0)="",0,OFFSET(F417,-1,0)),IF(F$8&lt;$K417,IF(OFFSET(F417,-1,0)="","ERR",OFFSET(F417,-1,0)),""))</f>
        <v/>
      </c>
      <c r="G417" s="11">
        <f>IF($K417=G$8,1+IF(OFFSET(G417,-1,0)="",0,OFFSET(G417,-1,0)),IF(G$8&lt;$K417,IF(OFFSET(G417,-1,0)="","ERR",OFFSET(G417,-1,0)),""))</f>
        <v/>
      </c>
      <c r="H417" s="11">
        <f>IF($K417=H$8,1+IF(OFFSET(H417,-1,0)="",0,OFFSET(H417,-1,0)),IF(H$8&lt;$K417,IF(OFFSET(H417,-1,0)="","ERR",OFFSET(H417,-1,0)),""))</f>
        <v/>
      </c>
      <c r="I417" s="11">
        <f>IF($K417=I$8,1+IF(OFFSET(I417,-1,0)="",0,OFFSET(I417,-1,0)),IF(I$8&lt;$K417,IF(OFFSET(I417,-1,0)="","ERR",OFFSET(I417,-1,0)),""))</f>
        <v/>
      </c>
      <c r="J417" s="43">
        <f>_xlfn.TEXTJOIN(".",1,B417:I417)</f>
        <v/>
      </c>
      <c r="K417" s="43" t="inlineStr">
        <is>
          <t>Л5</t>
        </is>
      </c>
      <c r="L417" s="43" t="inlineStr">
        <is>
          <t>3.3.3.21.2</t>
        </is>
      </c>
      <c r="M417" s="44" t="inlineStr">
        <is>
          <t>Оборудование и приборы</t>
        </is>
      </c>
      <c r="N417" s="43" t="n"/>
      <c r="O417" s="9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  <c r="AA417" s="45" t="n"/>
      <c r="AB417" s="185" t="n"/>
      <c r="AC417" s="186" t="n"/>
      <c r="AD417" s="186" t="n"/>
      <c r="AE417" s="186" t="n"/>
      <c r="AF417" s="186" t="n"/>
      <c r="AG417" s="186" t="n"/>
      <c r="AH417" s="178" t="n"/>
    </row>
    <row r="418" outlineLevel="1">
      <c r="A418" s="18" t="inlineStr">
        <is>
          <t>О</t>
        </is>
      </c>
      <c r="B418" s="11">
        <f>IF($K418=B$8,1+IF(OFFSET(B418,-1,0)="",0,OFFSET(B418,-1,0)),IF(B$8&lt;$K418,IF(OFFSET(B418,-1,0)="","ERR",OFFSET(B418,-1,0)),""))</f>
        <v/>
      </c>
      <c r="C418" s="11">
        <f>IF($K418=C$8,1+IF(OFFSET(C418,-1,0)="",0,OFFSET(C418,-1,0)),IF(C$8&lt;$K418,IF(OFFSET(C418,-1,0)="","ERR",OFFSET(C418,-1,0)),""))</f>
        <v/>
      </c>
      <c r="D418" s="11">
        <f>IF($K418=D$8,1+IF(OFFSET(D418,-1,0)="",0,OFFSET(D418,-1,0)),IF(D$8&lt;$K418,IF(OFFSET(D418,-1,0)="","ERR",OFFSET(D418,-1,0)),""))</f>
        <v/>
      </c>
      <c r="E418" s="11">
        <f>IF($K418=E$8,1+IF(OFFSET(E418,-1,0)="",0,OFFSET(E418,-1,0)),IF(E$8&lt;$K418,IF(OFFSET(E418,-1,0)="","ERR",OFFSET(E418,-1,0)),""))</f>
        <v/>
      </c>
      <c r="F418" s="11">
        <f>IF($K418=F$8,1+IF(OFFSET(F418,-1,0)="",0,OFFSET(F418,-1,0)),IF(F$8&lt;$K418,IF(OFFSET(F418,-1,0)="","ERR",OFFSET(F418,-1,0)),""))</f>
        <v/>
      </c>
      <c r="G418" s="11">
        <f>IF($K418=G$8,1+IF(OFFSET(G418,-1,0)="",0,OFFSET(G418,-1,0)),IF(G$8&lt;$K418,IF(OFFSET(G418,-1,0)="","ERR",OFFSET(G418,-1,0)),""))</f>
        <v/>
      </c>
      <c r="H418" s="11">
        <f>IF($K418=H$8,1+IF(OFFSET(H418,-1,0)="",0,OFFSET(H418,-1,0)),IF(H$8&lt;$K418,IF(OFFSET(H418,-1,0)="","ERR",OFFSET(H418,-1,0)),""))</f>
        <v/>
      </c>
      <c r="I418" s="11">
        <f>IF($K418=I$8,1+IF(OFFSET(I418,-1,0)="",0,OFFSET(I418,-1,0)),IF(I$8&lt;$K418,IF(OFFSET(I418,-1,0)="","ERR",OFFSET(I418,-1,0)),""))</f>
        <v/>
      </c>
      <c r="J418" s="46">
        <f>_xlfn.TEXTJOIN(".",1,B418:I418)</f>
        <v/>
      </c>
      <c r="K418" s="46" t="inlineStr">
        <is>
          <t>Л6</t>
        </is>
      </c>
      <c r="L418" s="46" t="inlineStr">
        <is>
          <t>3.3.3.21.2.1</t>
        </is>
      </c>
      <c r="M418" s="47" t="inlineStr">
        <is>
          <t>Монтаж прибора адресно-аналогового приемно-контрольного охранно-пожарного и управления</t>
        </is>
      </c>
      <c r="N418" s="46" t="inlineStr">
        <is>
          <t>шт</t>
        </is>
      </c>
      <c r="O418" s="94">
        <f>P418+Q418+S418+V418</f>
        <v/>
      </c>
      <c r="P418" s="46" t="n"/>
      <c r="Q418" s="46">
        <f>Q419</f>
        <v/>
      </c>
      <c r="R418" s="46">
        <f>R419</f>
        <v/>
      </c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8" t="n"/>
      <c r="AB418" s="187" t="n"/>
      <c r="AC418" s="180" t="n">
        <v>13500</v>
      </c>
      <c r="AD418" s="189">
        <f>SUM(AB418:AC418)</f>
        <v/>
      </c>
      <c r="AE418" s="189">
        <f>AB418*$O418</f>
        <v/>
      </c>
      <c r="AF418" s="189">
        <f>AC418*$O418</f>
        <v/>
      </c>
      <c r="AG418" s="189">
        <f>SUM(AE418:AF418)</f>
        <v/>
      </c>
      <c r="AH418" s="182" t="n"/>
    </row>
    <row r="419" outlineLevel="1">
      <c r="A419" s="18" t="inlineStr">
        <is>
          <t>О</t>
        </is>
      </c>
      <c r="B419" s="11">
        <f>IF($K419=B$8,1+IF(OFFSET(B419,-1,0)="",0,OFFSET(B419,-1,0)),IF(B$8&lt;$K419,IF(OFFSET(B419,-1,0)="","ERR",OFFSET(B419,-1,0)),""))</f>
        <v/>
      </c>
      <c r="C419" s="11">
        <f>IF($K419=C$8,1+IF(OFFSET(C419,-1,0)="",0,OFFSET(C419,-1,0)),IF(C$8&lt;$K419,IF(OFFSET(C419,-1,0)="","ERR",OFFSET(C419,-1,0)),""))</f>
        <v/>
      </c>
      <c r="D419" s="11">
        <f>IF($K419=D$8,1+IF(OFFSET(D419,-1,0)="",0,OFFSET(D419,-1,0)),IF(D$8&lt;$K419,IF(OFFSET(D419,-1,0)="","ERR",OFFSET(D419,-1,0)),""))</f>
        <v/>
      </c>
      <c r="E419" s="11">
        <f>IF($K419=E$8,1+IF(OFFSET(E419,-1,0)="",0,OFFSET(E419,-1,0)),IF(E$8&lt;$K419,IF(OFFSET(E419,-1,0)="","ERR",OFFSET(E419,-1,0)),""))</f>
        <v/>
      </c>
      <c r="F419" s="11">
        <f>IF($K419=F$8,1+IF(OFFSET(F419,-1,0)="",0,OFFSET(F419,-1,0)),IF(F$8&lt;$K419,IF(OFFSET(F419,-1,0)="","ERR",OFFSET(F419,-1,0)),""))</f>
        <v/>
      </c>
      <c r="G419" s="11">
        <f>IF($K419=G$8,1+IF(OFFSET(G419,-1,0)="",0,OFFSET(G419,-1,0)),IF(G$8&lt;$K419,IF(OFFSET(G419,-1,0)="","ERR",OFFSET(G419,-1,0)),""))</f>
        <v/>
      </c>
      <c r="H419" s="11">
        <f>IF($K419=H$8,1+IF(OFFSET(H419,-1,0)="",0,OFFSET(H419,-1,0)),IF(H$8&lt;$K419,IF(OFFSET(H419,-1,0)="","ERR",OFFSET(H419,-1,0)),""))</f>
        <v/>
      </c>
      <c r="I419" s="11">
        <f>IF($K419=I$8,1+IF(OFFSET(I419,-1,0)="",0,OFFSET(I419,-1,0)),IF(I$8&lt;$K419,IF(OFFSET(I419,-1,0)="","ERR",OFFSET(I419,-1,0)),""))</f>
        <v/>
      </c>
      <c r="J419" s="49">
        <f>_xlfn.TEXTJOIN(".",1,B419:I419)</f>
        <v/>
      </c>
      <c r="K419" s="49" t="inlineStr">
        <is>
          <t>Л7</t>
        </is>
      </c>
      <c r="L419" s="49" t="n"/>
      <c r="M419" s="63" t="inlineStr">
        <is>
          <t>Прибор приёмно-контрольный и управления охранно-пожарный адресный R3-Рубеж-2ОП, ООО «Рубеж»</t>
        </is>
      </c>
      <c r="N419" s="49" t="inlineStr">
        <is>
          <t>шт</t>
        </is>
      </c>
      <c r="O419" s="50">
        <f>P419+Q419+S419+V419</f>
        <v/>
      </c>
      <c r="P419" s="49" t="n"/>
      <c r="Q419" s="49" t="n">
        <v>9</v>
      </c>
      <c r="R419" s="49" t="n">
        <v>9</v>
      </c>
      <c r="S419" s="49" t="n"/>
      <c r="T419" s="49" t="n"/>
      <c r="U419" s="49" t="n"/>
      <c r="V419" s="49" t="n"/>
      <c r="W419" s="50" t="n">
        <v>1</v>
      </c>
      <c r="X419" s="26" t="n">
        <v>1659174829</v>
      </c>
      <c r="Y419" s="26" t="n">
        <v>165901001</v>
      </c>
      <c r="Z419" s="26" t="inlineStr">
        <is>
          <t xml:space="preserve"> "ТК "РУТЕК"</t>
        </is>
      </c>
      <c r="AA419" s="51" t="inlineStr">
        <is>
          <t>ГТ</t>
        </is>
      </c>
      <c r="AB419" s="188" t="n"/>
      <c r="AC419" s="189" t="n"/>
      <c r="AD419" s="190">
        <f>SUM(AB419:AC419)</f>
        <v/>
      </c>
      <c r="AE419" s="190">
        <f>AB419*$O419*$W419</f>
        <v/>
      </c>
      <c r="AF419" s="190">
        <f>AC419*$O419*$W419</f>
        <v/>
      </c>
      <c r="AG419" s="190">
        <f>SUM(AE419:AF419)</f>
        <v/>
      </c>
      <c r="AH419" s="182" t="n"/>
    </row>
    <row r="420" outlineLevel="1">
      <c r="A420" s="18" t="inlineStr">
        <is>
          <t>О</t>
        </is>
      </c>
      <c r="B420" s="11">
        <f>IF($K420=B$8,1+IF(OFFSET(B420,-1,0)="",0,OFFSET(B420,-1,0)),IF(B$8&lt;$K420,IF(OFFSET(B420,-1,0)="","ERR",OFFSET(B420,-1,0)),""))</f>
        <v/>
      </c>
      <c r="C420" s="11">
        <f>IF($K420=C$8,1+IF(OFFSET(C420,-1,0)="",0,OFFSET(C420,-1,0)),IF(C$8&lt;$K420,IF(OFFSET(C420,-1,0)="","ERR",OFFSET(C420,-1,0)),""))</f>
        <v/>
      </c>
      <c r="D420" s="11">
        <f>IF($K420=D$8,1+IF(OFFSET(D420,-1,0)="",0,OFFSET(D420,-1,0)),IF(D$8&lt;$K420,IF(OFFSET(D420,-1,0)="","ERR",OFFSET(D420,-1,0)),""))</f>
        <v/>
      </c>
      <c r="E420" s="11">
        <f>IF($K420=E$8,1+IF(OFFSET(E420,-1,0)="",0,OFFSET(E420,-1,0)),IF(E$8&lt;$K420,IF(OFFSET(E420,-1,0)="","ERR",OFFSET(E420,-1,0)),""))</f>
        <v/>
      </c>
      <c r="F420" s="11">
        <f>IF($K420=F$8,1+IF(OFFSET(F420,-1,0)="",0,OFFSET(F420,-1,0)),IF(F$8&lt;$K420,IF(OFFSET(F420,-1,0)="","ERR",OFFSET(F420,-1,0)),""))</f>
        <v/>
      </c>
      <c r="G420" s="11">
        <f>IF($K420=G$8,1+IF(OFFSET(G420,-1,0)="",0,OFFSET(G420,-1,0)),IF(G$8&lt;$K420,IF(OFFSET(G420,-1,0)="","ERR",OFFSET(G420,-1,0)),""))</f>
        <v/>
      </c>
      <c r="H420" s="11">
        <f>IF($K420=H$8,1+IF(OFFSET(H420,-1,0)="",0,OFFSET(H420,-1,0)),IF(H$8&lt;$K420,IF(OFFSET(H420,-1,0)="","ERR",OFFSET(H420,-1,0)),""))</f>
        <v/>
      </c>
      <c r="I420" s="11">
        <f>IF($K420=I$8,1+IF(OFFSET(I420,-1,0)="",0,OFFSET(I420,-1,0)),IF(I$8&lt;$K420,IF(OFFSET(I420,-1,0)="","ERR",OFFSET(I420,-1,0)),""))</f>
        <v/>
      </c>
      <c r="J420" s="46">
        <f>_xlfn.TEXTJOIN(".",1,B420:I420)</f>
        <v/>
      </c>
      <c r="K420" s="46" t="inlineStr">
        <is>
          <t>Л7</t>
        </is>
      </c>
      <c r="L420" s="46" t="n"/>
      <c r="M420" s="64" t="inlineStr">
        <is>
          <t>Сопутствующие и прочие материалы*</t>
        </is>
      </c>
      <c r="N420" s="46" t="inlineStr">
        <is>
          <t>шт</t>
        </is>
      </c>
      <c r="O420" s="94">
        <f>P420+Q420+S420+V420</f>
        <v/>
      </c>
      <c r="P420" s="46" t="n"/>
      <c r="Q420" s="46">
        <f>Q419</f>
        <v/>
      </c>
      <c r="R420" s="46">
        <f>R419</f>
        <v/>
      </c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8" t="n"/>
      <c r="AB420" s="179" t="n"/>
      <c r="AC420" s="189" t="n"/>
      <c r="AD420" s="189">
        <f>SUM(AB420:AC420)</f>
        <v/>
      </c>
      <c r="AE420" s="189">
        <f>AB420*$O420</f>
        <v/>
      </c>
      <c r="AF420" s="189">
        <f>AC420*$O420</f>
        <v/>
      </c>
      <c r="AG420" s="189">
        <f>SUM(AE420:AF420)</f>
        <v/>
      </c>
      <c r="AH420" s="182" t="n"/>
    </row>
    <row r="421" outlineLevel="1">
      <c r="A421" s="18" t="inlineStr">
        <is>
          <t>О</t>
        </is>
      </c>
      <c r="B421" s="11">
        <f>IF($K421=B$8,1+IF(OFFSET(B421,-1,0)="",0,OFFSET(B421,-1,0)),IF(B$8&lt;$K421,IF(OFFSET(B421,-1,0)="","ERR",OFFSET(B421,-1,0)),""))</f>
        <v/>
      </c>
      <c r="C421" s="11">
        <f>IF($K421=C$8,1+IF(OFFSET(C421,-1,0)="",0,OFFSET(C421,-1,0)),IF(C$8&lt;$K421,IF(OFFSET(C421,-1,0)="","ERR",OFFSET(C421,-1,0)),""))</f>
        <v/>
      </c>
      <c r="D421" s="11">
        <f>IF($K421=D$8,1+IF(OFFSET(D421,-1,0)="",0,OFFSET(D421,-1,0)),IF(D$8&lt;$K421,IF(OFFSET(D421,-1,0)="","ERR",OFFSET(D421,-1,0)),""))</f>
        <v/>
      </c>
      <c r="E421" s="11">
        <f>IF($K421=E$8,1+IF(OFFSET(E421,-1,0)="",0,OFFSET(E421,-1,0)),IF(E$8&lt;$K421,IF(OFFSET(E421,-1,0)="","ERR",OFFSET(E421,-1,0)),""))</f>
        <v/>
      </c>
      <c r="F421" s="11">
        <f>IF($K421=F$8,1+IF(OFFSET(F421,-1,0)="",0,OFFSET(F421,-1,0)),IF(F$8&lt;$K421,IF(OFFSET(F421,-1,0)="","ERR",OFFSET(F421,-1,0)),""))</f>
        <v/>
      </c>
      <c r="G421" s="11">
        <f>IF($K421=G$8,1+IF(OFFSET(G421,-1,0)="",0,OFFSET(G421,-1,0)),IF(G$8&lt;$K421,IF(OFFSET(G421,-1,0)="","ERR",OFFSET(G421,-1,0)),""))</f>
        <v/>
      </c>
      <c r="H421" s="11">
        <f>IF($K421=H$8,1+IF(OFFSET(H421,-1,0)="",0,OFFSET(H421,-1,0)),IF(H$8&lt;$K421,IF(OFFSET(H421,-1,0)="","ERR",OFFSET(H421,-1,0)),""))</f>
        <v/>
      </c>
      <c r="I421" s="11">
        <f>IF($K421=I$8,1+IF(OFFSET(I421,-1,0)="",0,OFFSET(I421,-1,0)),IF(I$8&lt;$K421,IF(OFFSET(I421,-1,0)="","ERR",OFFSET(I421,-1,0)),""))</f>
        <v/>
      </c>
      <c r="J421" s="46">
        <f>_xlfn.TEXTJOIN(".",1,B421:I421)</f>
        <v/>
      </c>
      <c r="K421" s="46" t="inlineStr">
        <is>
          <t>Л6</t>
        </is>
      </c>
      <c r="L421" s="46" t="inlineStr">
        <is>
          <t>3.3.3.21.2.3</t>
        </is>
      </c>
      <c r="M421" s="47" t="inlineStr">
        <is>
          <t>Монтаж размыкателя линии (изолятора шлейфа)</t>
        </is>
      </c>
      <c r="N421" s="46" t="inlineStr">
        <is>
          <t>шт</t>
        </is>
      </c>
      <c r="O421" s="94">
        <f>P421+Q421+S421+V421</f>
        <v/>
      </c>
      <c r="P421" s="46">
        <f>P422</f>
        <v/>
      </c>
      <c r="Q421" s="46">
        <f>Q422</f>
        <v/>
      </c>
      <c r="R421" s="46">
        <f>R422</f>
        <v/>
      </c>
      <c r="S421" s="46">
        <f>S422</f>
        <v/>
      </c>
      <c r="T421" s="46">
        <f>T422</f>
        <v/>
      </c>
      <c r="U421" s="46">
        <f>U422</f>
        <v/>
      </c>
      <c r="V421" s="46">
        <f>V422</f>
        <v/>
      </c>
      <c r="W421" s="46" t="n"/>
      <c r="X421" s="46" t="n"/>
      <c r="Y421" s="46" t="n"/>
      <c r="Z421" s="46" t="n"/>
      <c r="AA421" s="48" t="n"/>
      <c r="AB421" s="187" t="n"/>
      <c r="AC421" s="180" t="n">
        <v>300</v>
      </c>
      <c r="AD421" s="189">
        <f>SUM(AB421:AC421)</f>
        <v/>
      </c>
      <c r="AE421" s="189">
        <f>AB421*$O421</f>
        <v/>
      </c>
      <c r="AF421" s="189">
        <f>AC421*$O421</f>
        <v/>
      </c>
      <c r="AG421" s="189">
        <f>SUM(AE421:AF421)</f>
        <v/>
      </c>
      <c r="AH421" s="182" t="n"/>
    </row>
    <row r="422" outlineLevel="1">
      <c r="A422" s="18" t="inlineStr">
        <is>
          <t>О</t>
        </is>
      </c>
      <c r="B422" s="11">
        <f>IF($K422=B$8,1+IF(OFFSET(B422,-1,0)="",0,OFFSET(B422,-1,0)),IF(B$8&lt;$K422,IF(OFFSET(B422,-1,0)="","ERR",OFFSET(B422,-1,0)),""))</f>
        <v/>
      </c>
      <c r="C422" s="11">
        <f>IF($K422=C$8,1+IF(OFFSET(C422,-1,0)="",0,OFFSET(C422,-1,0)),IF(C$8&lt;$K422,IF(OFFSET(C422,-1,0)="","ERR",OFFSET(C422,-1,0)),""))</f>
        <v/>
      </c>
      <c r="D422" s="11">
        <f>IF($K422=D$8,1+IF(OFFSET(D422,-1,0)="",0,OFFSET(D422,-1,0)),IF(D$8&lt;$K422,IF(OFFSET(D422,-1,0)="","ERR",OFFSET(D422,-1,0)),""))</f>
        <v/>
      </c>
      <c r="E422" s="11">
        <f>IF($K422=E$8,1+IF(OFFSET(E422,-1,0)="",0,OFFSET(E422,-1,0)),IF(E$8&lt;$K422,IF(OFFSET(E422,-1,0)="","ERR",OFFSET(E422,-1,0)),""))</f>
        <v/>
      </c>
      <c r="F422" s="11">
        <f>IF($K422=F$8,1+IF(OFFSET(F422,-1,0)="",0,OFFSET(F422,-1,0)),IF(F$8&lt;$K422,IF(OFFSET(F422,-1,0)="","ERR",OFFSET(F422,-1,0)),""))</f>
        <v/>
      </c>
      <c r="G422" s="11">
        <f>IF($K422=G$8,1+IF(OFFSET(G422,-1,0)="",0,OFFSET(G422,-1,0)),IF(G$8&lt;$K422,IF(OFFSET(G422,-1,0)="","ERR",OFFSET(G422,-1,0)),""))</f>
        <v/>
      </c>
      <c r="H422" s="11">
        <f>IF($K422=H$8,1+IF(OFFSET(H422,-1,0)="",0,OFFSET(H422,-1,0)),IF(H$8&lt;$K422,IF(OFFSET(H422,-1,0)="","ERR",OFFSET(H422,-1,0)),""))</f>
        <v/>
      </c>
      <c r="I422" s="11">
        <f>IF($K422=I$8,1+IF(OFFSET(I422,-1,0)="",0,OFFSET(I422,-1,0)),IF(I$8&lt;$K422,IF(OFFSET(I422,-1,0)="","ERR",OFFSET(I422,-1,0)),""))</f>
        <v/>
      </c>
      <c r="J422" s="49">
        <f>_xlfn.TEXTJOIN(".",1,B422:I422)</f>
        <v/>
      </c>
      <c r="K422" s="49" t="inlineStr">
        <is>
          <t>Л7</t>
        </is>
      </c>
      <c r="L422" s="49" t="inlineStr">
        <is>
          <t>3.3.3.21.2.3</t>
        </is>
      </c>
      <c r="M422" s="63" t="inlineStr">
        <is>
          <t>Монтаж размыкателя линии (изолятора шлейфа): Изолятор шлейфа ИЗ-1-R3</t>
        </is>
      </c>
      <c r="N422" s="49" t="inlineStr">
        <is>
          <t>шт</t>
        </is>
      </c>
      <c r="O422" s="50">
        <f>P422+Q422+S422+V422</f>
        <v/>
      </c>
      <c r="P422" s="49" t="n">
        <v>0</v>
      </c>
      <c r="Q422" s="49" t="n">
        <v>281</v>
      </c>
      <c r="R422" s="49" t="n">
        <v>281</v>
      </c>
      <c r="S422" s="49" t="n">
        <v>282</v>
      </c>
      <c r="T422" s="49" t="n">
        <v>282</v>
      </c>
      <c r="U422" s="49" t="n">
        <v>282</v>
      </c>
      <c r="V422" s="49" t="n">
        <v>282</v>
      </c>
      <c r="W422" s="50" t="n">
        <v>1</v>
      </c>
      <c r="X422" s="26" t="n">
        <v>1659174829</v>
      </c>
      <c r="Y422" s="26" t="n">
        <v>165901001</v>
      </c>
      <c r="Z422" s="26" t="inlineStr">
        <is>
          <t xml:space="preserve"> "ТК "РУТЕК"</t>
        </is>
      </c>
      <c r="AA422" s="51" t="inlineStr">
        <is>
          <t>ГТ</t>
        </is>
      </c>
      <c r="AB422" s="188" t="n"/>
      <c r="AC422" s="189" t="n"/>
      <c r="AD422" s="190">
        <f>SUM(AB422:AC422)</f>
        <v/>
      </c>
      <c r="AE422" s="190">
        <f>AB422*$O422*$W422</f>
        <v/>
      </c>
      <c r="AF422" s="190">
        <f>AC422*$O422*$W422</f>
        <v/>
      </c>
      <c r="AG422" s="190">
        <f>SUM(AE422:AF422)</f>
        <v/>
      </c>
      <c r="AH422" s="182" t="n"/>
    </row>
    <row r="423" outlineLevel="1">
      <c r="A423" s="18" t="inlineStr">
        <is>
          <t>О</t>
        </is>
      </c>
      <c r="B423" s="11">
        <f>IF($K423=B$8,1+IF(OFFSET(B423,-1,0)="",0,OFFSET(B423,-1,0)),IF(B$8&lt;$K423,IF(OFFSET(B423,-1,0)="","ERR",OFFSET(B423,-1,0)),""))</f>
        <v/>
      </c>
      <c r="C423" s="11">
        <f>IF($K423=C$8,1+IF(OFFSET(C423,-1,0)="",0,OFFSET(C423,-1,0)),IF(C$8&lt;$K423,IF(OFFSET(C423,-1,0)="","ERR",OFFSET(C423,-1,0)),""))</f>
        <v/>
      </c>
      <c r="D423" s="11">
        <f>IF($K423=D$8,1+IF(OFFSET(D423,-1,0)="",0,OFFSET(D423,-1,0)),IF(D$8&lt;$K423,IF(OFFSET(D423,-1,0)="","ERR",OFFSET(D423,-1,0)),""))</f>
        <v/>
      </c>
      <c r="E423" s="11">
        <f>IF($K423=E$8,1+IF(OFFSET(E423,-1,0)="",0,OFFSET(E423,-1,0)),IF(E$8&lt;$K423,IF(OFFSET(E423,-1,0)="","ERR",OFFSET(E423,-1,0)),""))</f>
        <v/>
      </c>
      <c r="F423" s="11">
        <f>IF($K423=F$8,1+IF(OFFSET(F423,-1,0)="",0,OFFSET(F423,-1,0)),IF(F$8&lt;$K423,IF(OFFSET(F423,-1,0)="","ERR",OFFSET(F423,-1,0)),""))</f>
        <v/>
      </c>
      <c r="G423" s="11">
        <f>IF($K423=G$8,1+IF(OFFSET(G423,-1,0)="",0,OFFSET(G423,-1,0)),IF(G$8&lt;$K423,IF(OFFSET(G423,-1,0)="","ERR",OFFSET(G423,-1,0)),""))</f>
        <v/>
      </c>
      <c r="H423" s="11">
        <f>IF($K423=H$8,1+IF(OFFSET(H423,-1,0)="",0,OFFSET(H423,-1,0)),IF(H$8&lt;$K423,IF(OFFSET(H423,-1,0)="","ERR",OFFSET(H423,-1,0)),""))</f>
        <v/>
      </c>
      <c r="I423" s="11">
        <f>IF($K423=I$8,1+IF(OFFSET(I423,-1,0)="",0,OFFSET(I423,-1,0)),IF(I$8&lt;$K423,IF(OFFSET(I423,-1,0)="","ERR",OFFSET(I423,-1,0)),""))</f>
        <v/>
      </c>
      <c r="J423" s="46">
        <f>_xlfn.TEXTJOIN(".",1,B423:I423)</f>
        <v/>
      </c>
      <c r="K423" s="46" t="inlineStr">
        <is>
          <t>Л7</t>
        </is>
      </c>
      <c r="L423" s="46" t="n"/>
      <c r="M423" s="64" t="inlineStr">
        <is>
          <t>Сопутствующие и прочие материалы*</t>
        </is>
      </c>
      <c r="N423" s="46" t="inlineStr">
        <is>
          <t>шт</t>
        </is>
      </c>
      <c r="O423" s="94">
        <f>P423+Q423+S423+V423</f>
        <v/>
      </c>
      <c r="P423" s="46">
        <f>P422</f>
        <v/>
      </c>
      <c r="Q423" s="46">
        <f>Q422</f>
        <v/>
      </c>
      <c r="R423" s="46">
        <f>R422</f>
        <v/>
      </c>
      <c r="S423" s="46">
        <f>S422</f>
        <v/>
      </c>
      <c r="T423" s="46">
        <f>T422</f>
        <v/>
      </c>
      <c r="U423" s="46">
        <f>U422</f>
        <v/>
      </c>
      <c r="V423" s="46">
        <f>V422</f>
        <v/>
      </c>
      <c r="W423" s="46" t="n"/>
      <c r="X423" s="46" t="n"/>
      <c r="Y423" s="46" t="n"/>
      <c r="Z423" s="46" t="n"/>
      <c r="AA423" s="48" t="n"/>
      <c r="AB423" s="179" t="n"/>
      <c r="AC423" s="189" t="n"/>
      <c r="AD423" s="189">
        <f>SUM(AB423:AC423)</f>
        <v/>
      </c>
      <c r="AE423" s="189">
        <f>AB423*$O423</f>
        <v/>
      </c>
      <c r="AF423" s="189">
        <f>AC423*$O423</f>
        <v/>
      </c>
      <c r="AG423" s="189">
        <f>SUM(AE423:AF423)</f>
        <v/>
      </c>
      <c r="AH423" s="182" t="n"/>
    </row>
    <row r="424" outlineLevel="1">
      <c r="A424" s="18" t="n">
        <v>5</v>
      </c>
      <c r="B424" s="11">
        <f>IF($K424=B$8,1+IF(OFFSET(B424,-1,0)="",0,OFFSET(B424,-1,0)),IF(B$8&lt;$K424,IF(OFFSET(B424,-1,0)="","ERR",OFFSET(B424,-1,0)),""))</f>
        <v/>
      </c>
      <c r="C424" s="11">
        <f>IF($K424=C$8,1+IF(OFFSET(C424,-1,0)="",0,OFFSET(C424,-1,0)),IF(C$8&lt;$K424,IF(OFFSET(C424,-1,0)="","ERR",OFFSET(C424,-1,0)),""))</f>
        <v/>
      </c>
      <c r="D424" s="11">
        <f>IF($K424=D$8,1+IF(OFFSET(D424,-1,0)="",0,OFFSET(D424,-1,0)),IF(D$8&lt;$K424,IF(OFFSET(D424,-1,0)="","ERR",OFFSET(D424,-1,0)),""))</f>
        <v/>
      </c>
      <c r="E424" s="11">
        <f>IF($K424=E$8,1+IF(OFFSET(E424,-1,0)="",0,OFFSET(E424,-1,0)),IF(E$8&lt;$K424,IF(OFFSET(E424,-1,0)="","ERR",OFFSET(E424,-1,0)),""))</f>
        <v/>
      </c>
      <c r="F424" s="11">
        <f>IF($K424=F$8,1+IF(OFFSET(F424,-1,0)="",0,OFFSET(F424,-1,0)),IF(F$8&lt;$K424,IF(OFFSET(F424,-1,0)="","ERR",OFFSET(F424,-1,0)),""))</f>
        <v/>
      </c>
      <c r="G424" s="11">
        <f>IF($K424=G$8,1+IF(OFFSET(G424,-1,0)="",0,OFFSET(G424,-1,0)),IF(G$8&lt;$K424,IF(OFFSET(G424,-1,0)="","ERR",OFFSET(G424,-1,0)),""))</f>
        <v/>
      </c>
      <c r="H424" s="11">
        <f>IF($K424=H$8,1+IF(OFFSET(H424,-1,0)="",0,OFFSET(H424,-1,0)),IF(H$8&lt;$K424,IF(OFFSET(H424,-1,0)="","ERR",OFFSET(H424,-1,0)),""))</f>
        <v/>
      </c>
      <c r="I424" s="11">
        <f>IF($K424=I$8,1+IF(OFFSET(I424,-1,0)="",0,OFFSET(I424,-1,0)),IF(I$8&lt;$K424,IF(OFFSET(I424,-1,0)="","ERR",OFFSET(I424,-1,0)),""))</f>
        <v/>
      </c>
      <c r="J424" s="46">
        <f>_xlfn.TEXTJOIN(".",1,B424:I424)</f>
        <v/>
      </c>
      <c r="K424" s="46" t="inlineStr">
        <is>
          <t>Л6</t>
        </is>
      </c>
      <c r="L424" s="46" t="inlineStr">
        <is>
          <t>3.3.3.21.2.4</t>
        </is>
      </c>
      <c r="M424" s="47" t="inlineStr">
        <is>
          <t>Монтаж адресного устройства дистанционного пуска</t>
        </is>
      </c>
      <c r="N424" s="46" t="inlineStr">
        <is>
          <t>шт</t>
        </is>
      </c>
      <c r="O424" s="94">
        <f>P424+Q424+S424+V424</f>
        <v/>
      </c>
      <c r="P424" s="46">
        <f>P425</f>
        <v/>
      </c>
      <c r="Q424" s="46">
        <f>Q425</f>
        <v/>
      </c>
      <c r="R424" s="46">
        <f>R425</f>
        <v/>
      </c>
      <c r="S424" s="46">
        <f>S425</f>
        <v/>
      </c>
      <c r="T424" s="46">
        <f>T425</f>
        <v/>
      </c>
      <c r="U424" s="46">
        <f>U425</f>
        <v/>
      </c>
      <c r="V424" s="46">
        <f>V425</f>
        <v/>
      </c>
      <c r="W424" s="46" t="n"/>
      <c r="X424" s="46" t="n"/>
      <c r="Y424" s="46" t="n"/>
      <c r="Z424" s="46" t="n"/>
      <c r="AA424" s="48" t="n"/>
      <c r="AB424" s="187" t="n"/>
      <c r="AC424" s="180" t="n">
        <v>750</v>
      </c>
      <c r="AD424" s="189">
        <f>SUM(AB424:AC424)</f>
        <v/>
      </c>
      <c r="AE424" s="189">
        <f>AB424*$O424</f>
        <v/>
      </c>
      <c r="AF424" s="189">
        <f>AC424*$O424</f>
        <v/>
      </c>
      <c r="AG424" s="189">
        <f>SUM(AE424:AF424)</f>
        <v/>
      </c>
      <c r="AH424" s="182" t="n"/>
    </row>
    <row r="425" outlineLevel="1" ht="25.5" customHeight="1">
      <c r="A425" s="18" t="inlineStr">
        <is>
          <t>О</t>
        </is>
      </c>
      <c r="B425" s="11">
        <f>IF($K425=B$8,1+IF(OFFSET(B425,-1,0)="",0,OFFSET(B425,-1,0)),IF(B$8&lt;$K425,IF(OFFSET(B425,-1,0)="","ERR",OFFSET(B425,-1,0)),""))</f>
        <v/>
      </c>
      <c r="C425" s="11">
        <f>IF($K425=C$8,1+IF(OFFSET(C425,-1,0)="",0,OFFSET(C425,-1,0)),IF(C$8&lt;$K425,IF(OFFSET(C425,-1,0)="","ERR",OFFSET(C425,-1,0)),""))</f>
        <v/>
      </c>
      <c r="D425" s="11">
        <f>IF($K425=D$8,1+IF(OFFSET(D425,-1,0)="",0,OFFSET(D425,-1,0)),IF(D$8&lt;$K425,IF(OFFSET(D425,-1,0)="","ERR",OFFSET(D425,-1,0)),""))</f>
        <v/>
      </c>
      <c r="E425" s="11">
        <f>IF($K425=E$8,1+IF(OFFSET(E425,-1,0)="",0,OFFSET(E425,-1,0)),IF(E$8&lt;$K425,IF(OFFSET(E425,-1,0)="","ERR",OFFSET(E425,-1,0)),""))</f>
        <v/>
      </c>
      <c r="F425" s="11">
        <f>IF($K425=F$8,1+IF(OFFSET(F425,-1,0)="",0,OFFSET(F425,-1,0)),IF(F$8&lt;$K425,IF(OFFSET(F425,-1,0)="","ERR",OFFSET(F425,-1,0)),""))</f>
        <v/>
      </c>
      <c r="G425" s="11">
        <f>IF($K425=G$8,1+IF(OFFSET(G425,-1,0)="",0,OFFSET(G425,-1,0)),IF(G$8&lt;$K425,IF(OFFSET(G425,-1,0)="","ERR",OFFSET(G425,-1,0)),""))</f>
        <v/>
      </c>
      <c r="H425" s="11">
        <f>IF($K425=H$8,1+IF(OFFSET(H425,-1,0)="",0,OFFSET(H425,-1,0)),IF(H$8&lt;$K425,IF(OFFSET(H425,-1,0)="","ERR",OFFSET(H425,-1,0)),""))</f>
        <v/>
      </c>
      <c r="I425" s="11">
        <f>IF($K425=I$8,1+IF(OFFSET(I425,-1,0)="",0,OFFSET(I425,-1,0)),IF(I$8&lt;$K425,IF(OFFSET(I425,-1,0)="","ERR",OFFSET(I425,-1,0)),""))</f>
        <v/>
      </c>
      <c r="J425" s="49">
        <f>_xlfn.TEXTJOIN(".",1,B425:I425)</f>
        <v/>
      </c>
      <c r="K425" s="49" t="inlineStr">
        <is>
          <t>Л7</t>
        </is>
      </c>
      <c r="L425" s="49" t="inlineStr">
        <is>
          <t>3.3.3.21.2.4</t>
        </is>
      </c>
      <c r="M425" s="63" t="inlineStr">
        <is>
          <t>Монтаж адресного устройства дистанционного пуска: УДП 513-11ИКЗ-R3 «ПУСК ДЫМОУДАЛЕНИЯ» (цвет оранжевый, со встроенным ИКЗ)</t>
        </is>
      </c>
      <c r="N425" s="49" t="inlineStr">
        <is>
          <t>шт</t>
        </is>
      </c>
      <c r="O425" s="50">
        <f>P425+Q425+S425+V425</f>
        <v/>
      </c>
      <c r="P425" s="49" t="n">
        <v>35</v>
      </c>
      <c r="Q425" s="49" t="n">
        <v>25</v>
      </c>
      <c r="R425" s="49" t="n">
        <v>25</v>
      </c>
      <c r="S425" s="49" t="n">
        <v>25</v>
      </c>
      <c r="T425" s="49" t="n">
        <v>25</v>
      </c>
      <c r="U425" s="49" t="n">
        <v>20</v>
      </c>
      <c r="V425" s="49" t="n">
        <v>20</v>
      </c>
      <c r="W425" s="50" t="n">
        <v>1</v>
      </c>
      <c r="X425" s="26" t="n">
        <v>1659174829</v>
      </c>
      <c r="Y425" s="26" t="n">
        <v>165901001</v>
      </c>
      <c r="Z425" s="26" t="inlineStr">
        <is>
          <t xml:space="preserve"> "ТК "РУТЕК"</t>
        </is>
      </c>
      <c r="AA425" s="51" t="inlineStr">
        <is>
          <t>ГТ</t>
        </is>
      </c>
      <c r="AB425" s="188" t="n"/>
      <c r="AC425" s="189" t="n"/>
      <c r="AD425" s="190">
        <f>SUM(AB425:AC425)</f>
        <v/>
      </c>
      <c r="AE425" s="190">
        <f>AB425*$O425*$W425</f>
        <v/>
      </c>
      <c r="AF425" s="190">
        <f>AC425*$O425*$W425</f>
        <v/>
      </c>
      <c r="AG425" s="190">
        <f>SUM(AE425:AF425)</f>
        <v/>
      </c>
      <c r="AH425" s="182" t="n"/>
    </row>
    <row r="426" outlineLevel="1">
      <c r="A426" s="18" t="inlineStr">
        <is>
          <t>О</t>
        </is>
      </c>
      <c r="B426" s="11">
        <f>IF($K426=B$8,1+IF(OFFSET(B426,-1,0)="",0,OFFSET(B426,-1,0)),IF(B$8&lt;$K426,IF(OFFSET(B426,-1,0)="","ERR",OFFSET(B426,-1,0)),""))</f>
        <v/>
      </c>
      <c r="C426" s="11">
        <f>IF($K426=C$8,1+IF(OFFSET(C426,-1,0)="",0,OFFSET(C426,-1,0)),IF(C$8&lt;$K426,IF(OFFSET(C426,-1,0)="","ERR",OFFSET(C426,-1,0)),""))</f>
        <v/>
      </c>
      <c r="D426" s="11">
        <f>IF($K426=D$8,1+IF(OFFSET(D426,-1,0)="",0,OFFSET(D426,-1,0)),IF(D$8&lt;$K426,IF(OFFSET(D426,-1,0)="","ERR",OFFSET(D426,-1,0)),""))</f>
        <v/>
      </c>
      <c r="E426" s="11">
        <f>IF($K426=E$8,1+IF(OFFSET(E426,-1,0)="",0,OFFSET(E426,-1,0)),IF(E$8&lt;$K426,IF(OFFSET(E426,-1,0)="","ERR",OFFSET(E426,-1,0)),""))</f>
        <v/>
      </c>
      <c r="F426" s="11">
        <f>IF($K426=F$8,1+IF(OFFSET(F426,-1,0)="",0,OFFSET(F426,-1,0)),IF(F$8&lt;$K426,IF(OFFSET(F426,-1,0)="","ERR",OFFSET(F426,-1,0)),""))</f>
        <v/>
      </c>
      <c r="G426" s="11">
        <f>IF($K426=G$8,1+IF(OFFSET(G426,-1,0)="",0,OFFSET(G426,-1,0)),IF(G$8&lt;$K426,IF(OFFSET(G426,-1,0)="","ERR",OFFSET(G426,-1,0)),""))</f>
        <v/>
      </c>
      <c r="H426" s="11">
        <f>IF($K426=H$8,1+IF(OFFSET(H426,-1,0)="",0,OFFSET(H426,-1,0)),IF(H$8&lt;$K426,IF(OFFSET(H426,-1,0)="","ERR",OFFSET(H426,-1,0)),""))</f>
        <v/>
      </c>
      <c r="I426" s="11">
        <f>IF($K426=I$8,1+IF(OFFSET(I426,-1,0)="",0,OFFSET(I426,-1,0)),IF(I$8&lt;$K426,IF(OFFSET(I426,-1,0)="","ERR",OFFSET(I426,-1,0)),""))</f>
        <v/>
      </c>
      <c r="J426" s="46">
        <f>_xlfn.TEXTJOIN(".",1,B426:I426)</f>
        <v/>
      </c>
      <c r="K426" s="46" t="inlineStr">
        <is>
          <t>Л7</t>
        </is>
      </c>
      <c r="L426" s="46" t="n"/>
      <c r="M426" s="64" t="inlineStr">
        <is>
          <t>Сопутствующие и прочие материалы*</t>
        </is>
      </c>
      <c r="N426" s="46" t="inlineStr">
        <is>
          <t>шт</t>
        </is>
      </c>
      <c r="O426" s="94">
        <f>P426+Q426+S426+V426</f>
        <v/>
      </c>
      <c r="P426" s="46">
        <f>P425</f>
        <v/>
      </c>
      <c r="Q426" s="46">
        <f>Q425</f>
        <v/>
      </c>
      <c r="R426" s="46">
        <f>R425</f>
        <v/>
      </c>
      <c r="S426" s="46">
        <f>S425</f>
        <v/>
      </c>
      <c r="T426" s="46">
        <f>T425</f>
        <v/>
      </c>
      <c r="U426" s="46">
        <f>U425</f>
        <v/>
      </c>
      <c r="V426" s="46">
        <f>V425</f>
        <v/>
      </c>
      <c r="W426" s="46" t="n"/>
      <c r="X426" s="46" t="n"/>
      <c r="Y426" s="46" t="n"/>
      <c r="Z426" s="46" t="n"/>
      <c r="AA426" s="48" t="n"/>
      <c r="AB426" s="179" t="n"/>
      <c r="AC426" s="189" t="n"/>
      <c r="AD426" s="189">
        <f>SUM(AB426:AC426)</f>
        <v/>
      </c>
      <c r="AE426" s="189">
        <f>AB426*$O426</f>
        <v/>
      </c>
      <c r="AF426" s="189">
        <f>AC426*$O426</f>
        <v/>
      </c>
      <c r="AG426" s="189">
        <f>SUM(AE426:AF426)</f>
        <v/>
      </c>
      <c r="AH426" s="182" t="n"/>
    </row>
    <row r="427" outlineLevel="1">
      <c r="A427" s="18" t="inlineStr">
        <is>
          <t>О</t>
        </is>
      </c>
      <c r="B427" s="11">
        <f>IF($K427=B$8,1+IF(OFFSET(B427,-1,0)="",0,OFFSET(B427,-1,0)),IF(B$8&lt;$K427,IF(OFFSET(B427,-1,0)="","ERR",OFFSET(B427,-1,0)),""))</f>
        <v/>
      </c>
      <c r="C427" s="11">
        <f>IF($K427=C$8,1+IF(OFFSET(C427,-1,0)="",0,OFFSET(C427,-1,0)),IF(C$8&lt;$K427,IF(OFFSET(C427,-1,0)="","ERR",OFFSET(C427,-1,0)),""))</f>
        <v/>
      </c>
      <c r="D427" s="11">
        <f>IF($K427=D$8,1+IF(OFFSET(D427,-1,0)="",0,OFFSET(D427,-1,0)),IF(D$8&lt;$K427,IF(OFFSET(D427,-1,0)="","ERR",OFFSET(D427,-1,0)),""))</f>
        <v/>
      </c>
      <c r="E427" s="11">
        <f>IF($K427=E$8,1+IF(OFFSET(E427,-1,0)="",0,OFFSET(E427,-1,0)),IF(E$8&lt;$K427,IF(OFFSET(E427,-1,0)="","ERR",OFFSET(E427,-1,0)),""))</f>
        <v/>
      </c>
      <c r="F427" s="11">
        <f>IF($K427=F$8,1+IF(OFFSET(F427,-1,0)="",0,OFFSET(F427,-1,0)),IF(F$8&lt;$K427,IF(OFFSET(F427,-1,0)="","ERR",OFFSET(F427,-1,0)),""))</f>
        <v/>
      </c>
      <c r="G427" s="11">
        <f>IF($K427=G$8,1+IF(OFFSET(G427,-1,0)="",0,OFFSET(G427,-1,0)),IF(G$8&lt;$K427,IF(OFFSET(G427,-1,0)="","ERR",OFFSET(G427,-1,0)),""))</f>
        <v/>
      </c>
      <c r="H427" s="11">
        <f>IF($K427=H$8,1+IF(OFFSET(H427,-1,0)="",0,OFFSET(H427,-1,0)),IF(H$8&lt;$K427,IF(OFFSET(H427,-1,0)="","ERR",OFFSET(H427,-1,0)),""))</f>
        <v/>
      </c>
      <c r="I427" s="11">
        <f>IF($K427=I$8,1+IF(OFFSET(I427,-1,0)="",0,OFFSET(I427,-1,0)),IF(I$8&lt;$K427,IF(OFFSET(I427,-1,0)="","ERR",OFFSET(I427,-1,0)),""))</f>
        <v/>
      </c>
      <c r="J427" s="46">
        <f>_xlfn.TEXTJOIN(".",1,B427:I427)</f>
        <v/>
      </c>
      <c r="K427" s="46" t="inlineStr">
        <is>
          <t>Л6</t>
        </is>
      </c>
      <c r="L427" s="46" t="inlineStr">
        <is>
          <t>3.3.3.21.2.5</t>
        </is>
      </c>
      <c r="M427" s="47" t="inlineStr">
        <is>
          <t>Монтаж источника питания</t>
        </is>
      </c>
      <c r="N427" s="46" t="inlineStr">
        <is>
          <t>шт</t>
        </is>
      </c>
      <c r="O427" s="94">
        <f>P427+Q427+S427+V427</f>
        <v/>
      </c>
      <c r="P427" s="46" t="n">
        <v>0</v>
      </c>
      <c r="Q427" s="46">
        <f>SUM(Q428:Q429)</f>
        <v/>
      </c>
      <c r="R427" s="46">
        <f>SUM(R428:R429)</f>
        <v/>
      </c>
      <c r="S427" s="46">
        <f>SUM(S428:S429)</f>
        <v/>
      </c>
      <c r="T427" s="46">
        <f>SUM(T428:T429)</f>
        <v/>
      </c>
      <c r="U427" s="46">
        <f>SUM(U428:U429)</f>
        <v/>
      </c>
      <c r="V427" s="46">
        <f>SUM(V428:V429)</f>
        <v/>
      </c>
      <c r="W427" s="46" t="n"/>
      <c r="X427" s="46" t="n"/>
      <c r="Y427" s="46" t="n"/>
      <c r="Z427" s="46" t="n"/>
      <c r="AA427" s="48" t="n"/>
      <c r="AB427" s="187" t="n"/>
      <c r="AC427" s="180" t="n">
        <v>4800</v>
      </c>
      <c r="AD427" s="189">
        <f>SUM(AB427:AC427)</f>
        <v/>
      </c>
      <c r="AE427" s="189">
        <f>AB427*$O427</f>
        <v/>
      </c>
      <c r="AF427" s="189">
        <f>AC427*$O427</f>
        <v/>
      </c>
      <c r="AG427" s="189">
        <f>SUM(AE427:AF427)</f>
        <v/>
      </c>
      <c r="AH427" s="182" t="n"/>
    </row>
    <row r="428" outlineLevel="1" ht="25.5" customHeight="1">
      <c r="A428" s="18" t="inlineStr">
        <is>
          <t>О</t>
        </is>
      </c>
      <c r="B428" s="11">
        <f>IF($K428=B$8,1+IF(OFFSET(B428,-1,0)="",0,OFFSET(B428,-1,0)),IF(B$8&lt;$K428,IF(OFFSET(B428,-1,0)="","ERR",OFFSET(B428,-1,0)),""))</f>
        <v/>
      </c>
      <c r="C428" s="11">
        <f>IF($K428=C$8,1+IF(OFFSET(C428,-1,0)="",0,OFFSET(C428,-1,0)),IF(C$8&lt;$K428,IF(OFFSET(C428,-1,0)="","ERR",OFFSET(C428,-1,0)),""))</f>
        <v/>
      </c>
      <c r="D428" s="11">
        <f>IF($K428=D$8,1+IF(OFFSET(D428,-1,0)="",0,OFFSET(D428,-1,0)),IF(D$8&lt;$K428,IF(OFFSET(D428,-1,0)="","ERR",OFFSET(D428,-1,0)),""))</f>
        <v/>
      </c>
      <c r="E428" s="11">
        <f>IF($K428=E$8,1+IF(OFFSET(E428,-1,0)="",0,OFFSET(E428,-1,0)),IF(E$8&lt;$K428,IF(OFFSET(E428,-1,0)="","ERR",OFFSET(E428,-1,0)),""))</f>
        <v/>
      </c>
      <c r="F428" s="11">
        <f>IF($K428=F$8,1+IF(OFFSET(F428,-1,0)="",0,OFFSET(F428,-1,0)),IF(F$8&lt;$K428,IF(OFFSET(F428,-1,0)="","ERR",OFFSET(F428,-1,0)),""))</f>
        <v/>
      </c>
      <c r="G428" s="11">
        <f>IF($K428=G$8,1+IF(OFFSET(G428,-1,0)="",0,OFFSET(G428,-1,0)),IF(G$8&lt;$K428,IF(OFFSET(G428,-1,0)="","ERR",OFFSET(G428,-1,0)),""))</f>
        <v/>
      </c>
      <c r="H428" s="11">
        <f>IF($K428=H$8,1+IF(OFFSET(H428,-1,0)="",0,OFFSET(H428,-1,0)),IF(H$8&lt;$K428,IF(OFFSET(H428,-1,0)="","ERR",OFFSET(H428,-1,0)),""))</f>
        <v/>
      </c>
      <c r="I428" s="11">
        <f>IF($K428=I$8,1+IF(OFFSET(I428,-1,0)="",0,OFFSET(I428,-1,0)),IF(I$8&lt;$K428,IF(OFFSET(I428,-1,0)="","ERR",OFFSET(I428,-1,0)),""))</f>
        <v/>
      </c>
      <c r="J428" s="49">
        <f>_xlfn.TEXTJOIN(".",1,B428:I428)</f>
        <v/>
      </c>
      <c r="K428" s="49" t="inlineStr">
        <is>
          <t>Л6</t>
        </is>
      </c>
      <c r="L428" s="49" t="inlineStr">
        <is>
          <t>3.3.3.21.2.5</t>
        </is>
      </c>
      <c r="M428" s="63" t="inlineStr">
        <is>
          <t>Источник вторичного электропитания резервированный адресный, ИВЭПР 24/2,5 RS-R3 2х7 БР, ООО «Рубеж»</t>
        </is>
      </c>
      <c r="N428" s="49" t="inlineStr">
        <is>
          <t>шт</t>
        </is>
      </c>
      <c r="O428" s="50">
        <f>P428+Q428+S428+V428</f>
        <v/>
      </c>
      <c r="P428" s="49" t="n">
        <v>0</v>
      </c>
      <c r="Q428" s="49" t="n">
        <v>5</v>
      </c>
      <c r="R428" s="49" t="n">
        <v>5</v>
      </c>
      <c r="S428" s="49" t="n">
        <v>6</v>
      </c>
      <c r="T428" s="49" t="n">
        <v>6</v>
      </c>
      <c r="U428" s="49" t="n">
        <v>4</v>
      </c>
      <c r="V428" s="49" t="n">
        <v>4</v>
      </c>
      <c r="W428" s="50" t="n">
        <v>1</v>
      </c>
      <c r="X428" s="26" t="n">
        <v>1659174829</v>
      </c>
      <c r="Y428" s="26" t="n">
        <v>165901001</v>
      </c>
      <c r="Z428" s="26" t="inlineStr">
        <is>
          <t xml:space="preserve"> "ТК "РУТЕК"</t>
        </is>
      </c>
      <c r="AA428" s="51" t="inlineStr">
        <is>
          <t>ГТ</t>
        </is>
      </c>
      <c r="AB428" s="188" t="n"/>
      <c r="AC428" s="189" t="n"/>
      <c r="AD428" s="190">
        <f>SUM(AB428:AC428)</f>
        <v/>
      </c>
      <c r="AE428" s="190">
        <f>AB428*$O428*$W428</f>
        <v/>
      </c>
      <c r="AF428" s="190">
        <f>AC428*$O428*$W428</f>
        <v/>
      </c>
      <c r="AG428" s="190">
        <f>SUM(AE428:AF428)</f>
        <v/>
      </c>
      <c r="AH428" s="182" t="n"/>
    </row>
    <row r="429" outlineLevel="1">
      <c r="A429" s="18" t="inlineStr">
        <is>
          <t>О</t>
        </is>
      </c>
      <c r="B429" s="11">
        <f>IF($K429=B$8,1+IF(OFFSET(B429,-1,0)="",0,OFFSET(B429,-1,0)),IF(B$8&lt;$K429,IF(OFFSET(B429,-1,0)="","ERR",OFFSET(B429,-1,0)),""))</f>
        <v/>
      </c>
      <c r="C429" s="11">
        <f>IF($K429=C$8,1+IF(OFFSET(C429,-1,0)="",0,OFFSET(C429,-1,0)),IF(C$8&lt;$K429,IF(OFFSET(C429,-1,0)="","ERR",OFFSET(C429,-1,0)),""))</f>
        <v/>
      </c>
      <c r="D429" s="11">
        <f>IF($K429=D$8,1+IF(OFFSET(D429,-1,0)="",0,OFFSET(D429,-1,0)),IF(D$8&lt;$K429,IF(OFFSET(D429,-1,0)="","ERR",OFFSET(D429,-1,0)),""))</f>
        <v/>
      </c>
      <c r="E429" s="11">
        <f>IF($K429=E$8,1+IF(OFFSET(E429,-1,0)="",0,OFFSET(E429,-1,0)),IF(E$8&lt;$K429,IF(OFFSET(E429,-1,0)="","ERR",OFFSET(E429,-1,0)),""))</f>
        <v/>
      </c>
      <c r="F429" s="11">
        <f>IF($K429=F$8,1+IF(OFFSET(F429,-1,0)="",0,OFFSET(F429,-1,0)),IF(F$8&lt;$K429,IF(OFFSET(F429,-1,0)="","ERR",OFFSET(F429,-1,0)),""))</f>
        <v/>
      </c>
      <c r="G429" s="11">
        <f>IF($K429=G$8,1+IF(OFFSET(G429,-1,0)="",0,OFFSET(G429,-1,0)),IF(G$8&lt;$K429,IF(OFFSET(G429,-1,0)="","ERR",OFFSET(G429,-1,0)),""))</f>
        <v/>
      </c>
      <c r="H429" s="11">
        <f>IF($K429=H$8,1+IF(OFFSET(H429,-1,0)="",0,OFFSET(H429,-1,0)),IF(H$8&lt;$K429,IF(OFFSET(H429,-1,0)="","ERR",OFFSET(H429,-1,0)),""))</f>
        <v/>
      </c>
      <c r="I429" s="11">
        <f>IF($K429=I$8,1+IF(OFFSET(I429,-1,0)="",0,OFFSET(I429,-1,0)),IF(I$8&lt;$K429,IF(OFFSET(I429,-1,0)="","ERR",OFFSET(I429,-1,0)),""))</f>
        <v/>
      </c>
      <c r="J429" s="49">
        <f>_xlfn.TEXTJOIN(".",1,B429:I429)</f>
        <v/>
      </c>
      <c r="K429" s="49" t="inlineStr">
        <is>
          <t>Л6</t>
        </is>
      </c>
      <c r="L429" s="49" t="inlineStr">
        <is>
          <t>3.3.3.21.2.5</t>
        </is>
      </c>
      <c r="M429" s="63" t="inlineStr">
        <is>
          <t>Бокс резервного электропитания, БР 24 2x40 с АКБ 2х26, ООО «Рубеж»</t>
        </is>
      </c>
      <c r="N429" s="49" t="inlineStr">
        <is>
          <t>шт</t>
        </is>
      </c>
      <c r="O429" s="50">
        <f>P429+Q429+S429+V429</f>
        <v/>
      </c>
      <c r="P429" s="49" t="n">
        <v>0</v>
      </c>
      <c r="Q429" s="49" t="n">
        <v>5</v>
      </c>
      <c r="R429" s="49" t="n">
        <v>5</v>
      </c>
      <c r="S429" s="49" t="n">
        <v>6</v>
      </c>
      <c r="T429" s="49" t="n">
        <v>6</v>
      </c>
      <c r="U429" s="49" t="n">
        <v>4</v>
      </c>
      <c r="V429" s="49" t="n">
        <v>4</v>
      </c>
      <c r="W429" s="50" t="n">
        <v>1</v>
      </c>
      <c r="X429" s="26" t="n">
        <v>1659174829</v>
      </c>
      <c r="Y429" s="26" t="n">
        <v>165901001</v>
      </c>
      <c r="Z429" s="26" t="inlineStr">
        <is>
          <t xml:space="preserve"> "ТК "РУТЕК"</t>
        </is>
      </c>
      <c r="AA429" s="51" t="inlineStr">
        <is>
          <t>ГТ</t>
        </is>
      </c>
      <c r="AB429" s="188" t="n"/>
      <c r="AC429" s="189" t="n"/>
      <c r="AD429" s="190">
        <f>SUM(AB429:AC429)</f>
        <v/>
      </c>
      <c r="AE429" s="190">
        <f>AB429*$O429*$W429</f>
        <v/>
      </c>
      <c r="AF429" s="190">
        <f>AC429*$O429*$W429</f>
        <v/>
      </c>
      <c r="AG429" s="190">
        <f>SUM(AE429:AF429)</f>
        <v/>
      </c>
      <c r="AH429" s="182" t="n"/>
    </row>
    <row r="430" outlineLevel="1">
      <c r="A430" s="18" t="inlineStr">
        <is>
          <t>О</t>
        </is>
      </c>
      <c r="B430" s="11">
        <f>IF($K430=B$8,1+IF(OFFSET(B430,-1,0)="",0,OFFSET(B430,-1,0)),IF(B$8&lt;$K430,IF(OFFSET(B430,-1,0)="","ERR",OFFSET(B430,-1,0)),""))</f>
        <v/>
      </c>
      <c r="C430" s="11">
        <f>IF($K430=C$8,1+IF(OFFSET(C430,-1,0)="",0,OFFSET(C430,-1,0)),IF(C$8&lt;$K430,IF(OFFSET(C430,-1,0)="","ERR",OFFSET(C430,-1,0)),""))</f>
        <v/>
      </c>
      <c r="D430" s="11">
        <f>IF($K430=D$8,1+IF(OFFSET(D430,-1,0)="",0,OFFSET(D430,-1,0)),IF(D$8&lt;$K430,IF(OFFSET(D430,-1,0)="","ERR",OFFSET(D430,-1,0)),""))</f>
        <v/>
      </c>
      <c r="E430" s="11">
        <f>IF($K430=E$8,1+IF(OFFSET(E430,-1,0)="",0,OFFSET(E430,-1,0)),IF(E$8&lt;$K430,IF(OFFSET(E430,-1,0)="","ERR",OFFSET(E430,-1,0)),""))</f>
        <v/>
      </c>
      <c r="F430" s="11">
        <f>IF($K430=F$8,1+IF(OFFSET(F430,-1,0)="",0,OFFSET(F430,-1,0)),IF(F$8&lt;$K430,IF(OFFSET(F430,-1,0)="","ERR",OFFSET(F430,-1,0)),""))</f>
        <v/>
      </c>
      <c r="G430" s="11">
        <f>IF($K430=G$8,1+IF(OFFSET(G430,-1,0)="",0,OFFSET(G430,-1,0)),IF(G$8&lt;$K430,IF(OFFSET(G430,-1,0)="","ERR",OFFSET(G430,-1,0)),""))</f>
        <v/>
      </c>
      <c r="H430" s="11">
        <f>IF($K430=H$8,1+IF(OFFSET(H430,-1,0)="",0,OFFSET(H430,-1,0)),IF(H$8&lt;$K430,IF(OFFSET(H430,-1,0)="","ERR",OFFSET(H430,-1,0)),""))</f>
        <v/>
      </c>
      <c r="I430" s="11">
        <f>IF($K430=I$8,1+IF(OFFSET(I430,-1,0)="",0,OFFSET(I430,-1,0)),IF(I$8&lt;$K430,IF(OFFSET(I430,-1,0)="","ERR",OFFSET(I430,-1,0)),""))</f>
        <v/>
      </c>
      <c r="J430" s="46">
        <f>_xlfn.TEXTJOIN(".",1,B430:I430)</f>
        <v/>
      </c>
      <c r="K430" s="46" t="inlineStr">
        <is>
          <t>Л7</t>
        </is>
      </c>
      <c r="L430" s="46" t="n"/>
      <c r="M430" s="64" t="inlineStr">
        <is>
          <t>Сопутствующие и прочие материалы*</t>
        </is>
      </c>
      <c r="N430" s="46" t="inlineStr">
        <is>
          <t>шт</t>
        </is>
      </c>
      <c r="O430" s="94">
        <f>P430+Q430+S430+V430</f>
        <v/>
      </c>
      <c r="P430" s="46">
        <f>P429</f>
        <v/>
      </c>
      <c r="Q430" s="46">
        <f>SUM(Q428:Q429)</f>
        <v/>
      </c>
      <c r="R430" s="46">
        <f>SUM(R428:R429)</f>
        <v/>
      </c>
      <c r="S430" s="46">
        <f>SUM(S428:S429)</f>
        <v/>
      </c>
      <c r="T430" s="46">
        <f>SUM(T428:T429)</f>
        <v/>
      </c>
      <c r="U430" s="46">
        <f>SUM(U428:U429)</f>
        <v/>
      </c>
      <c r="V430" s="46">
        <f>SUM(V428:V429)</f>
        <v/>
      </c>
      <c r="W430" s="46" t="n"/>
      <c r="X430" s="46" t="n"/>
      <c r="Y430" s="46" t="n"/>
      <c r="Z430" s="46" t="n"/>
      <c r="AA430" s="48" t="n"/>
      <c r="AB430" s="179" t="n"/>
      <c r="AC430" s="189" t="n"/>
      <c r="AD430" s="189">
        <f>SUM(AB430:AC430)</f>
        <v/>
      </c>
      <c r="AE430" s="189">
        <f>AB430*$O430</f>
        <v/>
      </c>
      <c r="AF430" s="189">
        <f>AC430*$O430</f>
        <v/>
      </c>
      <c r="AG430" s="189">
        <f>SUM(AE430:AF430)</f>
        <v/>
      </c>
      <c r="AH430" s="182" t="n"/>
    </row>
    <row r="431" outlineLevel="1">
      <c r="A431" s="18" t="inlineStr">
        <is>
          <t>О</t>
        </is>
      </c>
      <c r="B431" s="11">
        <f>IF($K431=B$8,1+IF(OFFSET(B431,-1,0)="",0,OFFSET(B431,-1,0)),IF(B$8&lt;$K431,IF(OFFSET(B431,-1,0)="","ERR",OFFSET(B431,-1,0)),""))</f>
        <v/>
      </c>
      <c r="C431" s="11">
        <f>IF($K431=C$8,1+IF(OFFSET(C431,-1,0)="",0,OFFSET(C431,-1,0)),IF(C$8&lt;$K431,IF(OFFSET(C431,-1,0)="","ERR",OFFSET(C431,-1,0)),""))</f>
        <v/>
      </c>
      <c r="D431" s="11">
        <f>IF($K431=D$8,1+IF(OFFSET(D431,-1,0)="",0,OFFSET(D431,-1,0)),IF(D$8&lt;$K431,IF(OFFSET(D431,-1,0)="","ERR",OFFSET(D431,-1,0)),""))</f>
        <v/>
      </c>
      <c r="E431" s="11">
        <f>IF($K431=E$8,1+IF(OFFSET(E431,-1,0)="",0,OFFSET(E431,-1,0)),IF(E$8&lt;$K431,IF(OFFSET(E431,-1,0)="","ERR",OFFSET(E431,-1,0)),""))</f>
        <v/>
      </c>
      <c r="F431" s="11">
        <f>IF($K431=F$8,1+IF(OFFSET(F431,-1,0)="",0,OFFSET(F431,-1,0)),IF(F$8&lt;$K431,IF(OFFSET(F431,-1,0)="","ERR",OFFSET(F431,-1,0)),""))</f>
        <v/>
      </c>
      <c r="G431" s="11">
        <f>IF($K431=G$8,1+IF(OFFSET(G431,-1,0)="",0,OFFSET(G431,-1,0)),IF(G$8&lt;$K431,IF(OFFSET(G431,-1,0)="","ERR",OFFSET(G431,-1,0)),""))</f>
        <v/>
      </c>
      <c r="H431" s="11">
        <f>IF($K431=H$8,1+IF(OFFSET(H431,-1,0)="",0,OFFSET(H431,-1,0)),IF(H$8&lt;$K431,IF(OFFSET(H431,-1,0)="","ERR",OFFSET(H431,-1,0)),""))</f>
        <v/>
      </c>
      <c r="I431" s="11">
        <f>IF($K431=I$8,1+IF(OFFSET(I431,-1,0)="",0,OFFSET(I431,-1,0)),IF(I$8&lt;$K431,IF(OFFSET(I431,-1,0)="","ERR",OFFSET(I431,-1,0)),""))</f>
        <v/>
      </c>
      <c r="J431" s="46">
        <f>_xlfn.TEXTJOIN(".",1,B431:I431)</f>
        <v/>
      </c>
      <c r="K431" s="46" t="inlineStr">
        <is>
          <t>Л6</t>
        </is>
      </c>
      <c r="L431" s="46" t="inlineStr">
        <is>
          <t>3.3.3.21.2.6</t>
        </is>
      </c>
      <c r="M431" s="47" t="inlineStr">
        <is>
          <t>Монтаж модуля адресного</t>
        </is>
      </c>
      <c r="N431" s="46" t="inlineStr">
        <is>
          <t>шт</t>
        </is>
      </c>
      <c r="O431" s="94">
        <f>P431+Q431+S431+V431</f>
        <v/>
      </c>
      <c r="P431" s="46">
        <f>SUM(P432:P436)</f>
        <v/>
      </c>
      <c r="Q431" s="46">
        <f>SUM(Q432:Q436)</f>
        <v/>
      </c>
      <c r="R431" s="46">
        <f>SUM(R432:R436)</f>
        <v/>
      </c>
      <c r="S431" s="46">
        <f>SUM(S432:S436)</f>
        <v/>
      </c>
      <c r="T431" s="46">
        <f>SUM(T432:T436)</f>
        <v/>
      </c>
      <c r="U431" s="46">
        <f>SUM(U432:U436)</f>
        <v/>
      </c>
      <c r="V431" s="46">
        <f>SUM(V432:V436)</f>
        <v/>
      </c>
      <c r="W431" s="46" t="n"/>
      <c r="X431" s="46" t="n"/>
      <c r="Y431" s="46" t="n"/>
      <c r="Z431" s="46" t="n"/>
      <c r="AA431" s="48" t="n"/>
      <c r="AB431" s="187" t="n"/>
      <c r="AC431" s="180" t="n">
        <v>3250</v>
      </c>
      <c r="AD431" s="189">
        <f>SUM(AB431:AC431)</f>
        <v/>
      </c>
      <c r="AE431" s="189">
        <f>AB431*$O431</f>
        <v/>
      </c>
      <c r="AF431" s="189">
        <f>AC431*$O431</f>
        <v/>
      </c>
      <c r="AG431" s="189">
        <f>SUM(AE431:AF431)</f>
        <v/>
      </c>
      <c r="AH431" s="182" t="n"/>
    </row>
    <row r="432" outlineLevel="1">
      <c r="A432" s="18" t="inlineStr">
        <is>
          <t>О</t>
        </is>
      </c>
      <c r="B432" s="11">
        <f>IF($K432=B$8,1+IF(OFFSET(B432,-1,0)="",0,OFFSET(B432,-1,0)),IF(B$8&lt;$K432,IF(OFFSET(B432,-1,0)="","ERR",OFFSET(B432,-1,0)),""))</f>
        <v/>
      </c>
      <c r="C432" s="11">
        <f>IF($K432=C$8,1+IF(OFFSET(C432,-1,0)="",0,OFFSET(C432,-1,0)),IF(C$8&lt;$K432,IF(OFFSET(C432,-1,0)="","ERR",OFFSET(C432,-1,0)),""))</f>
        <v/>
      </c>
      <c r="D432" s="11">
        <f>IF($K432=D$8,1+IF(OFFSET(D432,-1,0)="",0,OFFSET(D432,-1,0)),IF(D$8&lt;$K432,IF(OFFSET(D432,-1,0)="","ERR",OFFSET(D432,-1,0)),""))</f>
        <v/>
      </c>
      <c r="E432" s="11">
        <f>IF($K432=E$8,1+IF(OFFSET(E432,-1,0)="",0,OFFSET(E432,-1,0)),IF(E$8&lt;$K432,IF(OFFSET(E432,-1,0)="","ERR",OFFSET(E432,-1,0)),""))</f>
        <v/>
      </c>
      <c r="F432" s="11">
        <f>IF($K432=F$8,1+IF(OFFSET(F432,-1,0)="",0,OFFSET(F432,-1,0)),IF(F$8&lt;$K432,IF(OFFSET(F432,-1,0)="","ERR",OFFSET(F432,-1,0)),""))</f>
        <v/>
      </c>
      <c r="G432" s="11">
        <f>IF($K432=G$8,1+IF(OFFSET(G432,-1,0)="",0,OFFSET(G432,-1,0)),IF(G$8&lt;$K432,IF(OFFSET(G432,-1,0)="","ERR",OFFSET(G432,-1,0)),""))</f>
        <v/>
      </c>
      <c r="H432" s="11">
        <f>IF($K432=H$8,1+IF(OFFSET(H432,-1,0)="",0,OFFSET(H432,-1,0)),IF(H$8&lt;$K432,IF(OFFSET(H432,-1,0)="","ERR",OFFSET(H432,-1,0)),""))</f>
        <v/>
      </c>
      <c r="I432" s="11">
        <f>IF($K432=I$8,1+IF(OFFSET(I432,-1,0)="",0,OFFSET(I432,-1,0)),IF(I$8&lt;$K432,IF(OFFSET(I432,-1,0)="","ERR",OFFSET(I432,-1,0)),""))</f>
        <v/>
      </c>
      <c r="J432" s="49">
        <f>_xlfn.TEXTJOIN(".",1,B432:I432)</f>
        <v/>
      </c>
      <c r="K432" s="49" t="inlineStr">
        <is>
          <t>Л7</t>
        </is>
      </c>
      <c r="L432" s="49" t="inlineStr">
        <is>
          <t>3.3.3.21.2.6</t>
        </is>
      </c>
      <c r="M432" s="63" t="inlineStr">
        <is>
          <t>Модуль автоматики дымоудаления МДУ-1С-R3, ООО «Рубеж»</t>
        </is>
      </c>
      <c r="N432" s="49" t="inlineStr">
        <is>
          <t>шт</t>
        </is>
      </c>
      <c r="O432" s="50">
        <f>P432+Q432+S432+V432</f>
        <v/>
      </c>
      <c r="P432" s="49" t="n">
        <v>120</v>
      </c>
      <c r="Q432" s="49" t="n">
        <v>89</v>
      </c>
      <c r="R432" s="49" t="n">
        <v>89</v>
      </c>
      <c r="S432" s="49" t="n">
        <v>32</v>
      </c>
      <c r="T432" s="49" t="n">
        <v>32</v>
      </c>
      <c r="U432" s="49" t="n">
        <v>83</v>
      </c>
      <c r="V432" s="49" t="n">
        <v>83</v>
      </c>
      <c r="W432" s="50" t="n">
        <v>1</v>
      </c>
      <c r="X432" s="26" t="n">
        <v>1659174829</v>
      </c>
      <c r="Y432" s="26" t="n">
        <v>165901001</v>
      </c>
      <c r="Z432" s="26" t="inlineStr">
        <is>
          <t xml:space="preserve"> "ТК "РУТЕК"</t>
        </is>
      </c>
      <c r="AA432" s="51" t="inlineStr">
        <is>
          <t>ГТ</t>
        </is>
      </c>
      <c r="AB432" s="188" t="n"/>
      <c r="AC432" s="189" t="n"/>
      <c r="AD432" s="190">
        <f>SUM(AB432:AC432)</f>
        <v/>
      </c>
      <c r="AE432" s="190">
        <f>AB432*$O432*$W432</f>
        <v/>
      </c>
      <c r="AF432" s="190">
        <f>AC432*$O432*$W432</f>
        <v/>
      </c>
      <c r="AG432" s="190">
        <f>SUM(AE432:AF432)</f>
        <v/>
      </c>
      <c r="AH432" s="182" t="n"/>
    </row>
    <row r="433" outlineLevel="1">
      <c r="A433" s="18" t="inlineStr">
        <is>
          <t>О</t>
        </is>
      </c>
      <c r="B433" s="11">
        <f>IF($K433=B$8,1+IF(OFFSET(B433,-1,0)="",0,OFFSET(B433,-1,0)),IF(B$8&lt;$K433,IF(OFFSET(B433,-1,0)="","ERR",OFFSET(B433,-1,0)),""))</f>
        <v/>
      </c>
      <c r="C433" s="11">
        <f>IF($K433=C$8,1+IF(OFFSET(C433,-1,0)="",0,OFFSET(C433,-1,0)),IF(C$8&lt;$K433,IF(OFFSET(C433,-1,0)="","ERR",OFFSET(C433,-1,0)),""))</f>
        <v/>
      </c>
      <c r="D433" s="11">
        <f>IF($K433=D$8,1+IF(OFFSET(D433,-1,0)="",0,OFFSET(D433,-1,0)),IF(D$8&lt;$K433,IF(OFFSET(D433,-1,0)="","ERR",OFFSET(D433,-1,0)),""))</f>
        <v/>
      </c>
      <c r="E433" s="11">
        <f>IF($K433=E$8,1+IF(OFFSET(E433,-1,0)="",0,OFFSET(E433,-1,0)),IF(E$8&lt;$K433,IF(OFFSET(E433,-1,0)="","ERR",OFFSET(E433,-1,0)),""))</f>
        <v/>
      </c>
      <c r="F433" s="11">
        <f>IF($K433=F$8,1+IF(OFFSET(F433,-1,0)="",0,OFFSET(F433,-1,0)),IF(F$8&lt;$K433,IF(OFFSET(F433,-1,0)="","ERR",OFFSET(F433,-1,0)),""))</f>
        <v/>
      </c>
      <c r="G433" s="11">
        <f>IF($K433=G$8,1+IF(OFFSET(G433,-1,0)="",0,OFFSET(G433,-1,0)),IF(G$8&lt;$K433,IF(OFFSET(G433,-1,0)="","ERR",OFFSET(G433,-1,0)),""))</f>
        <v/>
      </c>
      <c r="H433" s="11">
        <f>IF($K433=H$8,1+IF(OFFSET(H433,-1,0)="",0,OFFSET(H433,-1,0)),IF(H$8&lt;$K433,IF(OFFSET(H433,-1,0)="","ERR",OFFSET(H433,-1,0)),""))</f>
        <v/>
      </c>
      <c r="I433" s="11">
        <f>IF($K433=I$8,1+IF(OFFSET(I433,-1,0)="",0,OFFSET(I433,-1,0)),IF(I$8&lt;$K433,IF(OFFSET(I433,-1,0)="","ERR",OFFSET(I433,-1,0)),""))</f>
        <v/>
      </c>
      <c r="J433" s="49">
        <f>_xlfn.TEXTJOIN(".",1,B433:I433)</f>
        <v/>
      </c>
      <c r="K433" s="49" t="inlineStr">
        <is>
          <t>Л7</t>
        </is>
      </c>
      <c r="L433" s="49" t="inlineStr">
        <is>
          <t>3.3.3.21.2.6</t>
        </is>
      </c>
      <c r="M433" s="63" t="inlineStr">
        <is>
          <t>Релейный модуль адресный РМ-1-R3, ООО «Рубеж»</t>
        </is>
      </c>
      <c r="N433" s="49" t="inlineStr">
        <is>
          <t>шт</t>
        </is>
      </c>
      <c r="O433" s="50">
        <f>P433+Q433+S433+V433</f>
        <v/>
      </c>
      <c r="P433" s="49" t="n"/>
      <c r="Q433" s="49" t="n">
        <v>8</v>
      </c>
      <c r="R433" s="49" t="n">
        <v>8</v>
      </c>
      <c r="S433" s="49" t="n">
        <v>8</v>
      </c>
      <c r="T433" s="49" t="n">
        <v>8</v>
      </c>
      <c r="U433" s="49" t="n">
        <v>8</v>
      </c>
      <c r="V433" s="49" t="n">
        <v>8</v>
      </c>
      <c r="W433" s="50" t="n">
        <v>1</v>
      </c>
      <c r="X433" s="26" t="n">
        <v>1659174829</v>
      </c>
      <c r="Y433" s="26" t="n">
        <v>165901001</v>
      </c>
      <c r="Z433" s="26" t="inlineStr">
        <is>
          <t xml:space="preserve"> "ТК "РУТЕК"</t>
        </is>
      </c>
      <c r="AA433" s="51" t="inlineStr">
        <is>
          <t>ГТ</t>
        </is>
      </c>
      <c r="AB433" s="188" t="n"/>
      <c r="AC433" s="189" t="n"/>
      <c r="AD433" s="190">
        <f>SUM(AB433:AC433)</f>
        <v/>
      </c>
      <c r="AE433" s="190">
        <f>AB433*$O433*$W433</f>
        <v/>
      </c>
      <c r="AF433" s="190">
        <f>AC433*$O433*$W433</f>
        <v/>
      </c>
      <c r="AG433" s="190">
        <f>SUM(AE433:AF433)</f>
        <v/>
      </c>
      <c r="AH433" s="182" t="n"/>
    </row>
    <row r="434" outlineLevel="1">
      <c r="A434" s="18" t="inlineStr">
        <is>
          <t>О</t>
        </is>
      </c>
      <c r="B434" s="11">
        <f>IF($K434=B$8,1+IF(OFFSET(B434,-1,0)="",0,OFFSET(B434,-1,0)),IF(B$8&lt;$K434,IF(OFFSET(B434,-1,0)="","ERR",OFFSET(B434,-1,0)),""))</f>
        <v/>
      </c>
      <c r="C434" s="11">
        <f>IF($K434=C$8,1+IF(OFFSET(C434,-1,0)="",0,OFFSET(C434,-1,0)),IF(C$8&lt;$K434,IF(OFFSET(C434,-1,0)="","ERR",OFFSET(C434,-1,0)),""))</f>
        <v/>
      </c>
      <c r="D434" s="11">
        <f>IF($K434=D$8,1+IF(OFFSET(D434,-1,0)="",0,OFFSET(D434,-1,0)),IF(D$8&lt;$K434,IF(OFFSET(D434,-1,0)="","ERR",OFFSET(D434,-1,0)),""))</f>
        <v/>
      </c>
      <c r="E434" s="11">
        <f>IF($K434=E$8,1+IF(OFFSET(E434,-1,0)="",0,OFFSET(E434,-1,0)),IF(E$8&lt;$K434,IF(OFFSET(E434,-1,0)="","ERR",OFFSET(E434,-1,0)),""))</f>
        <v/>
      </c>
      <c r="F434" s="11">
        <f>IF($K434=F$8,1+IF(OFFSET(F434,-1,0)="",0,OFFSET(F434,-1,0)),IF(F$8&lt;$K434,IF(OFFSET(F434,-1,0)="","ERR",OFFSET(F434,-1,0)),""))</f>
        <v/>
      </c>
      <c r="G434" s="11">
        <f>IF($K434=G$8,1+IF(OFFSET(G434,-1,0)="",0,OFFSET(G434,-1,0)),IF(G$8&lt;$K434,IF(OFFSET(G434,-1,0)="","ERR",OFFSET(G434,-1,0)),""))</f>
        <v/>
      </c>
      <c r="H434" s="11">
        <f>IF($K434=H$8,1+IF(OFFSET(H434,-1,0)="",0,OFFSET(H434,-1,0)),IF(H$8&lt;$K434,IF(OFFSET(H434,-1,0)="","ERR",OFFSET(H434,-1,0)),""))</f>
        <v/>
      </c>
      <c r="I434" s="11">
        <f>IF($K434=I$8,1+IF(OFFSET(I434,-1,0)="",0,OFFSET(I434,-1,0)),IF(I$8&lt;$K434,IF(OFFSET(I434,-1,0)="","ERR",OFFSET(I434,-1,0)),""))</f>
        <v/>
      </c>
      <c r="J434" s="49">
        <f>_xlfn.TEXTJOIN(".",1,B434:I434)</f>
        <v/>
      </c>
      <c r="K434" s="49" t="inlineStr">
        <is>
          <t>Л7</t>
        </is>
      </c>
      <c r="L434" s="49" t="inlineStr">
        <is>
          <t>3.3.3.21.2.6</t>
        </is>
      </c>
      <c r="M434" s="63" t="inlineStr">
        <is>
          <t>Релейный модуль адресный РМ-4К-ИКЗ-R3, ООО «Рубеж»</t>
        </is>
      </c>
      <c r="N434" s="49" t="inlineStr">
        <is>
          <t>шт</t>
        </is>
      </c>
      <c r="O434" s="50">
        <f>P434+Q434+S434+V434</f>
        <v/>
      </c>
      <c r="P434" s="49" t="n"/>
      <c r="Q434" s="49" t="n">
        <v>2</v>
      </c>
      <c r="R434" s="49" t="n">
        <v>2</v>
      </c>
      <c r="S434" s="49" t="n">
        <v>2</v>
      </c>
      <c r="T434" s="49" t="n">
        <v>2</v>
      </c>
      <c r="U434" s="49" t="n">
        <v>2</v>
      </c>
      <c r="V434" s="49" t="n">
        <v>2</v>
      </c>
      <c r="W434" s="50" t="n">
        <v>1</v>
      </c>
      <c r="X434" s="26" t="n">
        <v>1659174829</v>
      </c>
      <c r="Y434" s="26" t="n">
        <v>165901001</v>
      </c>
      <c r="Z434" s="26" t="inlineStr">
        <is>
          <t xml:space="preserve"> "ТК "РУТЕК"</t>
        </is>
      </c>
      <c r="AA434" s="51" t="inlineStr">
        <is>
          <t>ГТ</t>
        </is>
      </c>
      <c r="AB434" s="188" t="n"/>
      <c r="AC434" s="189" t="n"/>
      <c r="AD434" s="190">
        <f>SUM(AB434:AC434)</f>
        <v/>
      </c>
      <c r="AE434" s="190">
        <f>AB434*$O434*$W434</f>
        <v/>
      </c>
      <c r="AF434" s="190">
        <f>AC434*$O434*$W434</f>
        <v/>
      </c>
      <c r="AG434" s="190">
        <f>SUM(AE434:AF434)</f>
        <v/>
      </c>
      <c r="AH434" s="182" t="n"/>
    </row>
    <row r="435" outlineLevel="1">
      <c r="A435" s="18" t="inlineStr">
        <is>
          <t>О</t>
        </is>
      </c>
      <c r="B435" s="11">
        <f>IF($K435=B$8,1+IF(OFFSET(B435,-1,0)="",0,OFFSET(B435,-1,0)),IF(B$8&lt;$K435,IF(OFFSET(B435,-1,0)="","ERR",OFFSET(B435,-1,0)),""))</f>
        <v/>
      </c>
      <c r="C435" s="11">
        <f>IF($K435=C$8,1+IF(OFFSET(C435,-1,0)="",0,OFFSET(C435,-1,0)),IF(C$8&lt;$K435,IF(OFFSET(C435,-1,0)="","ERR",OFFSET(C435,-1,0)),""))</f>
        <v/>
      </c>
      <c r="D435" s="11">
        <f>IF($K435=D$8,1+IF(OFFSET(D435,-1,0)="",0,OFFSET(D435,-1,0)),IF(D$8&lt;$K435,IF(OFFSET(D435,-1,0)="","ERR",OFFSET(D435,-1,0)),""))</f>
        <v/>
      </c>
      <c r="E435" s="11">
        <f>IF($K435=E$8,1+IF(OFFSET(E435,-1,0)="",0,OFFSET(E435,-1,0)),IF(E$8&lt;$K435,IF(OFFSET(E435,-1,0)="","ERR",OFFSET(E435,-1,0)),""))</f>
        <v/>
      </c>
      <c r="F435" s="11">
        <f>IF($K435=F$8,1+IF(OFFSET(F435,-1,0)="",0,OFFSET(F435,-1,0)),IF(F$8&lt;$K435,IF(OFFSET(F435,-1,0)="","ERR",OFFSET(F435,-1,0)),""))</f>
        <v/>
      </c>
      <c r="G435" s="11">
        <f>IF($K435=G$8,1+IF(OFFSET(G435,-1,0)="",0,OFFSET(G435,-1,0)),IF(G$8&lt;$K435,IF(OFFSET(G435,-1,0)="","ERR",OFFSET(G435,-1,0)),""))</f>
        <v/>
      </c>
      <c r="H435" s="11">
        <f>IF($K435=H$8,1+IF(OFFSET(H435,-1,0)="",0,OFFSET(H435,-1,0)),IF(H$8&lt;$K435,IF(OFFSET(H435,-1,0)="","ERR",OFFSET(H435,-1,0)),""))</f>
        <v/>
      </c>
      <c r="I435" s="11">
        <f>IF($K435=I$8,1+IF(OFFSET(I435,-1,0)="",0,OFFSET(I435,-1,0)),IF(I$8&lt;$K435,IF(OFFSET(I435,-1,0)="","ERR",OFFSET(I435,-1,0)),""))</f>
        <v/>
      </c>
      <c r="J435" s="49">
        <f>_xlfn.TEXTJOIN(".",1,B435:I435)</f>
        <v/>
      </c>
      <c r="K435" s="49" t="inlineStr">
        <is>
          <t>Л7</t>
        </is>
      </c>
      <c r="L435" s="49" t="inlineStr">
        <is>
          <t>3.3.3.21.2.6</t>
        </is>
      </c>
      <c r="M435" s="63" t="inlineStr">
        <is>
          <t>Релейный модуль адресный РМ-1С-R3, ООО «Рубеж»</t>
        </is>
      </c>
      <c r="N435" s="49" t="inlineStr">
        <is>
          <t>шт</t>
        </is>
      </c>
      <c r="O435" s="50">
        <f>P435+Q435+S435+V435</f>
        <v/>
      </c>
      <c r="P435" s="49" t="n">
        <v>70</v>
      </c>
      <c r="Q435" s="49" t="n">
        <v>60</v>
      </c>
      <c r="R435" s="49" t="n">
        <v>60</v>
      </c>
      <c r="S435" s="49" t="n">
        <v>40</v>
      </c>
      <c r="T435" s="49" t="n">
        <v>40</v>
      </c>
      <c r="U435" s="49" t="n">
        <v>64</v>
      </c>
      <c r="V435" s="49" t="n">
        <v>64</v>
      </c>
      <c r="W435" s="50" t="n">
        <v>1</v>
      </c>
      <c r="X435" s="26" t="n">
        <v>1659174829</v>
      </c>
      <c r="Y435" s="26" t="n">
        <v>165901001</v>
      </c>
      <c r="Z435" s="26" t="inlineStr">
        <is>
          <t xml:space="preserve"> "ТК "РУТЕК"</t>
        </is>
      </c>
      <c r="AA435" s="51" t="inlineStr">
        <is>
          <t>ГТ</t>
        </is>
      </c>
      <c r="AB435" s="188" t="n"/>
      <c r="AC435" s="189" t="n"/>
      <c r="AD435" s="190">
        <f>SUM(AB435:AC435)</f>
        <v/>
      </c>
      <c r="AE435" s="190">
        <f>AB435*$O435*$W435</f>
        <v/>
      </c>
      <c r="AF435" s="190">
        <f>AC435*$O435*$W435</f>
        <v/>
      </c>
      <c r="AG435" s="190">
        <f>SUM(AE435:AF435)</f>
        <v/>
      </c>
      <c r="AH435" s="182" t="n"/>
    </row>
    <row r="436" outlineLevel="1">
      <c r="A436" s="18" t="inlineStr">
        <is>
          <t>О</t>
        </is>
      </c>
      <c r="B436" s="11">
        <f>IF($K436=B$8,1+IF(OFFSET(B436,-1,0)="",0,OFFSET(B436,-1,0)),IF(B$8&lt;$K436,IF(OFFSET(B436,-1,0)="","ERR",OFFSET(B436,-1,0)),""))</f>
        <v/>
      </c>
      <c r="C436" s="11">
        <f>IF($K436=C$8,1+IF(OFFSET(C436,-1,0)="",0,OFFSET(C436,-1,0)),IF(C$8&lt;$K436,IF(OFFSET(C436,-1,0)="","ERR",OFFSET(C436,-1,0)),""))</f>
        <v/>
      </c>
      <c r="D436" s="11">
        <f>IF($K436=D$8,1+IF(OFFSET(D436,-1,0)="",0,OFFSET(D436,-1,0)),IF(D$8&lt;$K436,IF(OFFSET(D436,-1,0)="","ERR",OFFSET(D436,-1,0)),""))</f>
        <v/>
      </c>
      <c r="E436" s="11">
        <f>IF($K436=E$8,1+IF(OFFSET(E436,-1,0)="",0,OFFSET(E436,-1,0)),IF(E$8&lt;$K436,IF(OFFSET(E436,-1,0)="","ERR",OFFSET(E436,-1,0)),""))</f>
        <v/>
      </c>
      <c r="F436" s="11">
        <f>IF($K436=F$8,1+IF(OFFSET(F436,-1,0)="",0,OFFSET(F436,-1,0)),IF(F$8&lt;$K436,IF(OFFSET(F436,-1,0)="","ERR",OFFSET(F436,-1,0)),""))</f>
        <v/>
      </c>
      <c r="G436" s="11">
        <f>IF($K436=G$8,1+IF(OFFSET(G436,-1,0)="",0,OFFSET(G436,-1,0)),IF(G$8&lt;$K436,IF(OFFSET(G436,-1,0)="","ERR",OFFSET(G436,-1,0)),""))</f>
        <v/>
      </c>
      <c r="H436" s="11">
        <f>IF($K436=H$8,1+IF(OFFSET(H436,-1,0)="",0,OFFSET(H436,-1,0)),IF(H$8&lt;$K436,IF(OFFSET(H436,-1,0)="","ERR",OFFSET(H436,-1,0)),""))</f>
        <v/>
      </c>
      <c r="I436" s="11">
        <f>IF($K436=I$8,1+IF(OFFSET(I436,-1,0)="",0,OFFSET(I436,-1,0)),IF(I$8&lt;$K436,IF(OFFSET(I436,-1,0)="","ERR",OFFSET(I436,-1,0)),""))</f>
        <v/>
      </c>
      <c r="J436" s="49">
        <f>_xlfn.TEXTJOIN(".",1,B436:I436)</f>
        <v/>
      </c>
      <c r="K436" s="49" t="inlineStr">
        <is>
          <t>Л7</t>
        </is>
      </c>
      <c r="L436" s="49" t="inlineStr">
        <is>
          <t>3.3.3.21.2.6</t>
        </is>
      </c>
      <c r="M436" s="63" t="inlineStr">
        <is>
          <t>Релейный модуль адресный РМ-4-R3, ООО «Рубеж»</t>
        </is>
      </c>
      <c r="N436" s="49" t="inlineStr">
        <is>
          <t>шт</t>
        </is>
      </c>
      <c r="O436" s="50">
        <f>P436+Q436+S436+V436</f>
        <v/>
      </c>
      <c r="P436" s="49" t="n"/>
      <c r="Q436" s="49" t="n">
        <v>2</v>
      </c>
      <c r="R436" s="49" t="n">
        <v>2</v>
      </c>
      <c r="S436" s="49" t="n"/>
      <c r="T436" s="49" t="n"/>
      <c r="U436" s="49" t="n"/>
      <c r="V436" s="49" t="n"/>
      <c r="W436" s="50" t="n">
        <v>1</v>
      </c>
      <c r="X436" s="26" t="n">
        <v>1659174829</v>
      </c>
      <c r="Y436" s="26" t="n">
        <v>165901001</v>
      </c>
      <c r="Z436" s="26" t="inlineStr">
        <is>
          <t xml:space="preserve"> "ТК "РУТЕК"</t>
        </is>
      </c>
      <c r="AA436" s="51" t="inlineStr">
        <is>
          <t>ГТ</t>
        </is>
      </c>
      <c r="AB436" s="188" t="n"/>
      <c r="AC436" s="189" t="n"/>
      <c r="AD436" s="190">
        <f>SUM(AB436:AC436)</f>
        <v/>
      </c>
      <c r="AE436" s="190">
        <f>AB436*$O436*$W436</f>
        <v/>
      </c>
      <c r="AF436" s="190">
        <f>AC436*$O436*$W436</f>
        <v/>
      </c>
      <c r="AG436" s="190">
        <f>SUM(AE436:AF436)</f>
        <v/>
      </c>
      <c r="AH436" s="182" t="n"/>
    </row>
    <row r="437" outlineLevel="1">
      <c r="A437" s="18" t="inlineStr">
        <is>
          <t>О</t>
        </is>
      </c>
      <c r="B437" s="11">
        <f>IF($K437=B$8,1+IF(OFFSET(B437,-1,0)="",0,OFFSET(B437,-1,0)),IF(B$8&lt;$K437,IF(OFFSET(B437,-1,0)="","ERR",OFFSET(B437,-1,0)),""))</f>
        <v/>
      </c>
      <c r="C437" s="11">
        <f>IF($K437=C$8,1+IF(OFFSET(C437,-1,0)="",0,OFFSET(C437,-1,0)),IF(C$8&lt;$K437,IF(OFFSET(C437,-1,0)="","ERR",OFFSET(C437,-1,0)),""))</f>
        <v/>
      </c>
      <c r="D437" s="11">
        <f>IF($K437=D$8,1+IF(OFFSET(D437,-1,0)="",0,OFFSET(D437,-1,0)),IF(D$8&lt;$K437,IF(OFFSET(D437,-1,0)="","ERR",OFFSET(D437,-1,0)),""))</f>
        <v/>
      </c>
      <c r="E437" s="11">
        <f>IF($K437=E$8,1+IF(OFFSET(E437,-1,0)="",0,OFFSET(E437,-1,0)),IF(E$8&lt;$K437,IF(OFFSET(E437,-1,0)="","ERR",OFFSET(E437,-1,0)),""))</f>
        <v/>
      </c>
      <c r="F437" s="11">
        <f>IF($K437=F$8,1+IF(OFFSET(F437,-1,0)="",0,OFFSET(F437,-1,0)),IF(F$8&lt;$K437,IF(OFFSET(F437,-1,0)="","ERR",OFFSET(F437,-1,0)),""))</f>
        <v/>
      </c>
      <c r="G437" s="11">
        <f>IF($K437=G$8,1+IF(OFFSET(G437,-1,0)="",0,OFFSET(G437,-1,0)),IF(G$8&lt;$K437,IF(OFFSET(G437,-1,0)="","ERR",OFFSET(G437,-1,0)),""))</f>
        <v/>
      </c>
      <c r="H437" s="11">
        <f>IF($K437=H$8,1+IF(OFFSET(H437,-1,0)="",0,OFFSET(H437,-1,0)),IF(H$8&lt;$K437,IF(OFFSET(H437,-1,0)="","ERR",OFFSET(H437,-1,0)),""))</f>
        <v/>
      </c>
      <c r="I437" s="11">
        <f>IF($K437=I$8,1+IF(OFFSET(I437,-1,0)="",0,OFFSET(I437,-1,0)),IF(I$8&lt;$K437,IF(OFFSET(I437,-1,0)="","ERR",OFFSET(I437,-1,0)),""))</f>
        <v/>
      </c>
      <c r="J437" s="46">
        <f>_xlfn.TEXTJOIN(".",1,B437:I437)</f>
        <v/>
      </c>
      <c r="K437" s="46" t="inlineStr">
        <is>
          <t>Л7</t>
        </is>
      </c>
      <c r="L437" s="46" t="n"/>
      <c r="M437" s="64" t="inlineStr">
        <is>
          <t>Сопутствующие и прочие материалы*</t>
        </is>
      </c>
      <c r="N437" s="46" t="inlineStr">
        <is>
          <t>шт</t>
        </is>
      </c>
      <c r="O437" s="94">
        <f>P437+Q437+S437+V437</f>
        <v/>
      </c>
      <c r="P437" s="46">
        <f>SUM(P432:P436)</f>
        <v/>
      </c>
      <c r="Q437" s="46">
        <f>SUM(Q432:Q436)</f>
        <v/>
      </c>
      <c r="R437" s="46">
        <f>SUM(R432:R436)</f>
        <v/>
      </c>
      <c r="S437" s="46">
        <f>SUM(S432:S436)</f>
        <v/>
      </c>
      <c r="T437" s="46">
        <f>SUM(T432:T436)</f>
        <v/>
      </c>
      <c r="U437" s="46">
        <f>SUM(U432:U436)</f>
        <v/>
      </c>
      <c r="V437" s="46">
        <f>SUM(V432:V436)</f>
        <v/>
      </c>
      <c r="W437" s="46" t="n"/>
      <c r="X437" s="46" t="n"/>
      <c r="Y437" s="46" t="n"/>
      <c r="Z437" s="46" t="n"/>
      <c r="AA437" s="48" t="n"/>
      <c r="AB437" s="179" t="n"/>
      <c r="AC437" s="189" t="n"/>
      <c r="AD437" s="189">
        <f>SUM(AB437:AC437)</f>
        <v/>
      </c>
      <c r="AE437" s="189">
        <f>AB437*$O437</f>
        <v/>
      </c>
      <c r="AF437" s="189">
        <f>AC437*$O437</f>
        <v/>
      </c>
      <c r="AG437" s="189">
        <f>SUM(AE437:AF437)</f>
        <v/>
      </c>
      <c r="AH437" s="182" t="n"/>
    </row>
    <row r="438" outlineLevel="1">
      <c r="A438" s="18" t="inlineStr">
        <is>
          <t>О</t>
        </is>
      </c>
      <c r="B438" s="11">
        <f>IF($K438=B$8,1+IF(OFFSET(B438,-1,0)="",0,OFFSET(B438,-1,0)),IF(B$8&lt;$K438,IF(OFFSET(B438,-1,0)="","ERR",OFFSET(B438,-1,0)),""))</f>
        <v/>
      </c>
      <c r="C438" s="11">
        <f>IF($K438=C$8,1+IF(OFFSET(C438,-1,0)="",0,OFFSET(C438,-1,0)),IF(C$8&lt;$K438,IF(OFFSET(C438,-1,0)="","ERR",OFFSET(C438,-1,0)),""))</f>
        <v/>
      </c>
      <c r="D438" s="11">
        <f>IF($K438=D$8,1+IF(OFFSET(D438,-1,0)="",0,OFFSET(D438,-1,0)),IF(D$8&lt;$K438,IF(OFFSET(D438,-1,0)="","ERR",OFFSET(D438,-1,0)),""))</f>
        <v/>
      </c>
      <c r="E438" s="11">
        <f>IF($K438=E$8,1+IF(OFFSET(E438,-1,0)="",0,OFFSET(E438,-1,0)),IF(E$8&lt;$K438,IF(OFFSET(E438,-1,0)="","ERR",OFFSET(E438,-1,0)),""))</f>
        <v/>
      </c>
      <c r="F438" s="11">
        <f>IF($K438=F$8,1+IF(OFFSET(F438,-1,0)="",0,OFFSET(F438,-1,0)),IF(F$8&lt;$K438,IF(OFFSET(F438,-1,0)="","ERR",OFFSET(F438,-1,0)),""))</f>
        <v/>
      </c>
      <c r="G438" s="11">
        <f>IF($K438=G$8,1+IF(OFFSET(G438,-1,0)="",0,OFFSET(G438,-1,0)),IF(G$8&lt;$K438,IF(OFFSET(G438,-1,0)="","ERR",OFFSET(G438,-1,0)),""))</f>
        <v/>
      </c>
      <c r="H438" s="11">
        <f>IF($K438=H$8,1+IF(OFFSET(H438,-1,0)="",0,OFFSET(H438,-1,0)),IF(H$8&lt;$K438,IF(OFFSET(H438,-1,0)="","ERR",OFFSET(H438,-1,0)),""))</f>
        <v/>
      </c>
      <c r="I438" s="11">
        <f>IF($K438=I$8,1+IF(OFFSET(I438,-1,0)="",0,OFFSET(I438,-1,0)),IF(I$8&lt;$K438,IF(OFFSET(I438,-1,0)="","ERR",OFFSET(I438,-1,0)),""))</f>
        <v/>
      </c>
      <c r="J438" s="46">
        <f>_xlfn.TEXTJOIN(".",1,B438:I438)</f>
        <v/>
      </c>
      <c r="K438" s="46" t="inlineStr">
        <is>
          <t>Л6</t>
        </is>
      </c>
      <c r="L438" s="46" t="inlineStr">
        <is>
          <t>3.3.3.21.2.7</t>
        </is>
      </c>
      <c r="M438" s="47" t="inlineStr">
        <is>
          <t>Монтаж метки адресной пожарной</t>
        </is>
      </c>
      <c r="N438" s="46" t="inlineStr">
        <is>
          <t>шт</t>
        </is>
      </c>
      <c r="O438" s="94">
        <f>P438+Q438+S438+V438</f>
        <v/>
      </c>
      <c r="P438" s="46">
        <f>SUM(P439:P440)</f>
        <v/>
      </c>
      <c r="Q438" s="46">
        <f>SUM(Q439:Q440)</f>
        <v/>
      </c>
      <c r="R438" s="46">
        <f>SUM(R439:R440)</f>
        <v/>
      </c>
      <c r="S438" s="46">
        <f>SUM(S439:S440)</f>
        <v/>
      </c>
      <c r="T438" s="46">
        <f>SUM(T439:T440)</f>
        <v/>
      </c>
      <c r="U438" s="46">
        <f>SUM(U439:U440)</f>
        <v/>
      </c>
      <c r="V438" s="46">
        <f>SUM(V439:V440)</f>
        <v/>
      </c>
      <c r="W438" s="46" t="n"/>
      <c r="X438" s="46" t="n"/>
      <c r="Y438" s="46" t="n"/>
      <c r="Z438" s="46" t="n"/>
      <c r="AA438" s="48" t="n"/>
      <c r="AB438" s="187" t="n"/>
      <c r="AC438" s="180" t="n">
        <v>350</v>
      </c>
      <c r="AD438" s="189">
        <f>SUM(AB438:AC438)</f>
        <v/>
      </c>
      <c r="AE438" s="189">
        <f>AB438*$O438</f>
        <v/>
      </c>
      <c r="AF438" s="189">
        <f>AC438*$O438</f>
        <v/>
      </c>
      <c r="AG438" s="189">
        <f>SUM(AE438:AF438)</f>
        <v/>
      </c>
      <c r="AH438" s="182" t="n"/>
    </row>
    <row r="439" outlineLevel="1">
      <c r="A439" s="18" t="inlineStr">
        <is>
          <t>О</t>
        </is>
      </c>
      <c r="B439" s="11">
        <f>IF($K439=B$8,1+IF(OFFSET(B439,-1,0)="",0,OFFSET(B439,-1,0)),IF(B$8&lt;$K439,IF(OFFSET(B439,-1,0)="","ERR",OFFSET(B439,-1,0)),""))</f>
        <v/>
      </c>
      <c r="C439" s="11">
        <f>IF($K439=C$8,1+IF(OFFSET(C439,-1,0)="",0,OFFSET(C439,-1,0)),IF(C$8&lt;$K439,IF(OFFSET(C439,-1,0)="","ERR",OFFSET(C439,-1,0)),""))</f>
        <v/>
      </c>
      <c r="D439" s="11">
        <f>IF($K439=D$8,1+IF(OFFSET(D439,-1,0)="",0,OFFSET(D439,-1,0)),IF(D$8&lt;$K439,IF(OFFSET(D439,-1,0)="","ERR",OFFSET(D439,-1,0)),""))</f>
        <v/>
      </c>
      <c r="E439" s="11">
        <f>IF($K439=E$8,1+IF(OFFSET(E439,-1,0)="",0,OFFSET(E439,-1,0)),IF(E$8&lt;$K439,IF(OFFSET(E439,-1,0)="","ERR",OFFSET(E439,-1,0)),""))</f>
        <v/>
      </c>
      <c r="F439" s="11">
        <f>IF($K439=F$8,1+IF(OFFSET(F439,-1,0)="",0,OFFSET(F439,-1,0)),IF(F$8&lt;$K439,IF(OFFSET(F439,-1,0)="","ERR",OFFSET(F439,-1,0)),""))</f>
        <v/>
      </c>
      <c r="G439" s="11">
        <f>IF($K439=G$8,1+IF(OFFSET(G439,-1,0)="",0,OFFSET(G439,-1,0)),IF(G$8&lt;$K439,IF(OFFSET(G439,-1,0)="","ERR",OFFSET(G439,-1,0)),""))</f>
        <v/>
      </c>
      <c r="H439" s="11">
        <f>IF($K439=H$8,1+IF(OFFSET(H439,-1,0)="",0,OFFSET(H439,-1,0)),IF(H$8&lt;$K439,IF(OFFSET(H439,-1,0)="","ERR",OFFSET(H439,-1,0)),""))</f>
        <v/>
      </c>
      <c r="I439" s="11">
        <f>IF($K439=I$8,1+IF(OFFSET(I439,-1,0)="",0,OFFSET(I439,-1,0)),IF(I$8&lt;$K439,IF(OFFSET(I439,-1,0)="","ERR",OFFSET(I439,-1,0)),""))</f>
        <v/>
      </c>
      <c r="J439" s="49">
        <f>_xlfn.TEXTJOIN(".",1,B439:I439)</f>
        <v/>
      </c>
      <c r="K439" s="49" t="inlineStr">
        <is>
          <t>Л7</t>
        </is>
      </c>
      <c r="L439" s="49" t="n"/>
      <c r="M439" s="63" t="inlineStr">
        <is>
          <t>Монтаж метки адресной пожарной: Адресная метка АМ-1-R3</t>
        </is>
      </c>
      <c r="N439" s="49" t="inlineStr">
        <is>
          <t>шт</t>
        </is>
      </c>
      <c r="O439" s="50">
        <f>P439+Q439+S439+V439</f>
        <v/>
      </c>
      <c r="P439" s="49" t="n">
        <v>100</v>
      </c>
      <c r="Q439" s="49" t="n">
        <v>95</v>
      </c>
      <c r="R439" s="49" t="n">
        <v>95</v>
      </c>
      <c r="S439" s="49" t="n">
        <v>75</v>
      </c>
      <c r="T439" s="49" t="n">
        <v>75</v>
      </c>
      <c r="U439" s="49" t="n">
        <v>89</v>
      </c>
      <c r="V439" s="49" t="n">
        <v>89</v>
      </c>
      <c r="W439" s="50" t="n">
        <v>1</v>
      </c>
      <c r="X439" s="26" t="n">
        <v>1659174829</v>
      </c>
      <c r="Y439" s="26" t="n">
        <v>165901001</v>
      </c>
      <c r="Z439" s="26" t="inlineStr">
        <is>
          <t xml:space="preserve"> "ТК "РУТЕК"</t>
        </is>
      </c>
      <c r="AA439" s="51" t="inlineStr">
        <is>
          <t>ГТ</t>
        </is>
      </c>
      <c r="AB439" s="188" t="n"/>
      <c r="AC439" s="189" t="n"/>
      <c r="AD439" s="190">
        <f>SUM(AB439:AC439)</f>
        <v/>
      </c>
      <c r="AE439" s="190">
        <f>AB439*$O439*$W439</f>
        <v/>
      </c>
      <c r="AF439" s="190">
        <f>AC439*$O439*$W439</f>
        <v/>
      </c>
      <c r="AG439" s="190">
        <f>SUM(AE439:AF439)</f>
        <v/>
      </c>
      <c r="AH439" s="182" t="n"/>
    </row>
    <row r="440" outlineLevel="1">
      <c r="A440" s="18" t="inlineStr">
        <is>
          <t>О</t>
        </is>
      </c>
      <c r="B440" s="11">
        <f>IF($K440=B$8,1+IF(OFFSET(B440,-1,0)="",0,OFFSET(B440,-1,0)),IF(B$8&lt;$K440,IF(OFFSET(B440,-1,0)="","ERR",OFFSET(B440,-1,0)),""))</f>
        <v/>
      </c>
      <c r="C440" s="11">
        <f>IF($K440=C$8,1+IF(OFFSET(C440,-1,0)="",0,OFFSET(C440,-1,0)),IF(C$8&lt;$K440,IF(OFFSET(C440,-1,0)="","ERR",OFFSET(C440,-1,0)),""))</f>
        <v/>
      </c>
      <c r="D440" s="11">
        <f>IF($K440=D$8,1+IF(OFFSET(D440,-1,0)="",0,OFFSET(D440,-1,0)),IF(D$8&lt;$K440,IF(OFFSET(D440,-1,0)="","ERR",OFFSET(D440,-1,0)),""))</f>
        <v/>
      </c>
      <c r="E440" s="11">
        <f>IF($K440=E$8,1+IF(OFFSET(E440,-1,0)="",0,OFFSET(E440,-1,0)),IF(E$8&lt;$K440,IF(OFFSET(E440,-1,0)="","ERR",OFFSET(E440,-1,0)),""))</f>
        <v/>
      </c>
      <c r="F440" s="11">
        <f>IF($K440=F$8,1+IF(OFFSET(F440,-1,0)="",0,OFFSET(F440,-1,0)),IF(F$8&lt;$K440,IF(OFFSET(F440,-1,0)="","ERR",OFFSET(F440,-1,0)),""))</f>
        <v/>
      </c>
      <c r="G440" s="11">
        <f>IF($K440=G$8,1+IF(OFFSET(G440,-1,0)="",0,OFFSET(G440,-1,0)),IF(G$8&lt;$K440,IF(OFFSET(G440,-1,0)="","ERR",OFFSET(G440,-1,0)),""))</f>
        <v/>
      </c>
      <c r="H440" s="11">
        <f>IF($K440=H$8,1+IF(OFFSET(H440,-1,0)="",0,OFFSET(H440,-1,0)),IF(H$8&lt;$K440,IF(OFFSET(H440,-1,0)="","ERR",OFFSET(H440,-1,0)),""))</f>
        <v/>
      </c>
      <c r="I440" s="11">
        <f>IF($K440=I$8,1+IF(OFFSET(I440,-1,0)="",0,OFFSET(I440,-1,0)),IF(I$8&lt;$K440,IF(OFFSET(I440,-1,0)="","ERR",OFFSET(I440,-1,0)),""))</f>
        <v/>
      </c>
      <c r="J440" s="49">
        <f>_xlfn.TEXTJOIN(".",1,B440:I440)</f>
        <v/>
      </c>
      <c r="K440" s="49" t="inlineStr">
        <is>
          <t>Л7</t>
        </is>
      </c>
      <c r="L440" s="49" t="n"/>
      <c r="M440" s="63" t="inlineStr">
        <is>
          <t>Монтаж метки адресной пожарной: Адресная метка АМ-4-R3</t>
        </is>
      </c>
      <c r="N440" s="49" t="inlineStr">
        <is>
          <t>шт</t>
        </is>
      </c>
      <c r="O440" s="50">
        <f>P440+Q440+S440+V440</f>
        <v/>
      </c>
      <c r="P440" s="49" t="n"/>
      <c r="Q440" s="49" t="n">
        <v>21</v>
      </c>
      <c r="R440" s="49" t="n">
        <v>21</v>
      </c>
      <c r="S440" s="49" t="n">
        <v>21</v>
      </c>
      <c r="T440" s="49" t="n">
        <v>21</v>
      </c>
      <c r="U440" s="49" t="n">
        <v>21</v>
      </c>
      <c r="V440" s="49" t="n">
        <v>21</v>
      </c>
      <c r="W440" s="50" t="n">
        <v>1</v>
      </c>
      <c r="X440" s="26" t="n">
        <v>1659174829</v>
      </c>
      <c r="Y440" s="26" t="n">
        <v>165901001</v>
      </c>
      <c r="Z440" s="26" t="inlineStr">
        <is>
          <t xml:space="preserve"> "ТК "РУТЕК"</t>
        </is>
      </c>
      <c r="AA440" s="51" t="inlineStr">
        <is>
          <t>ГТ</t>
        </is>
      </c>
      <c r="AB440" s="188" t="n"/>
      <c r="AC440" s="189" t="n"/>
      <c r="AD440" s="190">
        <f>SUM(AB440:AC440)</f>
        <v/>
      </c>
      <c r="AE440" s="190">
        <f>AB440*$O440*$W440</f>
        <v/>
      </c>
      <c r="AF440" s="190">
        <f>AC440*$O440*$W440</f>
        <v/>
      </c>
      <c r="AG440" s="190">
        <f>SUM(AE440:AF440)</f>
        <v/>
      </c>
      <c r="AH440" s="182" t="n"/>
    </row>
    <row r="441" outlineLevel="1">
      <c r="A441" s="18" t="inlineStr">
        <is>
          <t>О</t>
        </is>
      </c>
      <c r="B441" s="11">
        <f>IF($K441=B$8,1+IF(OFFSET(B441,-1,0)="",0,OFFSET(B441,-1,0)),IF(B$8&lt;$K441,IF(OFFSET(B441,-1,0)="","ERR",OFFSET(B441,-1,0)),""))</f>
        <v/>
      </c>
      <c r="C441" s="11">
        <f>IF($K441=C$8,1+IF(OFFSET(C441,-1,0)="",0,OFFSET(C441,-1,0)),IF(C$8&lt;$K441,IF(OFFSET(C441,-1,0)="","ERR",OFFSET(C441,-1,0)),""))</f>
        <v/>
      </c>
      <c r="D441" s="11">
        <f>IF($K441=D$8,1+IF(OFFSET(D441,-1,0)="",0,OFFSET(D441,-1,0)),IF(D$8&lt;$K441,IF(OFFSET(D441,-1,0)="","ERR",OFFSET(D441,-1,0)),""))</f>
        <v/>
      </c>
      <c r="E441" s="11">
        <f>IF($K441=E$8,1+IF(OFFSET(E441,-1,0)="",0,OFFSET(E441,-1,0)),IF(E$8&lt;$K441,IF(OFFSET(E441,-1,0)="","ERR",OFFSET(E441,-1,0)),""))</f>
        <v/>
      </c>
      <c r="F441" s="11">
        <f>IF($K441=F$8,1+IF(OFFSET(F441,-1,0)="",0,OFFSET(F441,-1,0)),IF(F$8&lt;$K441,IF(OFFSET(F441,-1,0)="","ERR",OFFSET(F441,-1,0)),""))</f>
        <v/>
      </c>
      <c r="G441" s="11">
        <f>IF($K441=G$8,1+IF(OFFSET(G441,-1,0)="",0,OFFSET(G441,-1,0)),IF(G$8&lt;$K441,IF(OFFSET(G441,-1,0)="","ERR",OFFSET(G441,-1,0)),""))</f>
        <v/>
      </c>
      <c r="H441" s="11">
        <f>IF($K441=H$8,1+IF(OFFSET(H441,-1,0)="",0,OFFSET(H441,-1,0)),IF(H$8&lt;$K441,IF(OFFSET(H441,-1,0)="","ERR",OFFSET(H441,-1,0)),""))</f>
        <v/>
      </c>
      <c r="I441" s="11">
        <f>IF($K441=I$8,1+IF(OFFSET(I441,-1,0)="",0,OFFSET(I441,-1,0)),IF(I$8&lt;$K441,IF(OFFSET(I441,-1,0)="","ERR",OFFSET(I441,-1,0)),""))</f>
        <v/>
      </c>
      <c r="J441" s="46">
        <f>_xlfn.TEXTJOIN(".",1,B441:I441)</f>
        <v/>
      </c>
      <c r="K441" s="46" t="inlineStr">
        <is>
          <t>Л7</t>
        </is>
      </c>
      <c r="L441" s="46" t="n"/>
      <c r="M441" s="64" t="inlineStr">
        <is>
          <t>Сопутствующие и прочие материалы*</t>
        </is>
      </c>
      <c r="N441" s="46" t="inlineStr">
        <is>
          <t>шт</t>
        </is>
      </c>
      <c r="O441" s="94">
        <f>P441+Q441+S441+V441</f>
        <v/>
      </c>
      <c r="P441" s="46">
        <f>SUM(P439:P440)</f>
        <v/>
      </c>
      <c r="Q441" s="46">
        <f>SUM(Q439:Q440)</f>
        <v/>
      </c>
      <c r="R441" s="46">
        <f>SUM(R439:R440)</f>
        <v/>
      </c>
      <c r="S441" s="46">
        <f>SUM(S439:S440)</f>
        <v/>
      </c>
      <c r="T441" s="46">
        <f>SUM(T439:T440)</f>
        <v/>
      </c>
      <c r="U441" s="46">
        <f>SUM(U439:U440)</f>
        <v/>
      </c>
      <c r="V441" s="46">
        <f>SUM(V439:V440)</f>
        <v/>
      </c>
      <c r="W441" s="46" t="n"/>
      <c r="X441" s="46" t="n"/>
      <c r="Y441" s="46" t="n"/>
      <c r="Z441" s="46" t="n"/>
      <c r="AA441" s="48" t="n"/>
      <c r="AB441" s="179" t="n"/>
      <c r="AC441" s="189" t="n"/>
      <c r="AD441" s="189">
        <f>SUM(AB441:AC441)</f>
        <v/>
      </c>
      <c r="AE441" s="189">
        <f>AB441*$O441</f>
        <v/>
      </c>
      <c r="AF441" s="189">
        <f>AC441*$O441</f>
        <v/>
      </c>
      <c r="AG441" s="189">
        <f>SUM(AE441:AF441)</f>
        <v/>
      </c>
      <c r="AH441" s="182" t="n"/>
    </row>
    <row r="442" outlineLevel="1" ht="25.5" customHeight="1">
      <c r="A442" s="18" t="inlineStr">
        <is>
          <t>О</t>
        </is>
      </c>
      <c r="B442" s="11">
        <f>IF($K442=B$8,1+IF(OFFSET(B442,-1,0)="",0,OFFSET(B442,-1,0)),IF(B$8&lt;$K442,IF(OFFSET(B442,-1,0)="","ERR",OFFSET(B442,-1,0)),""))</f>
        <v/>
      </c>
      <c r="C442" s="11">
        <f>IF($K442=C$8,1+IF(OFFSET(C442,-1,0)="",0,OFFSET(C442,-1,0)),IF(C$8&lt;$K442,IF(OFFSET(C442,-1,0)="","ERR",OFFSET(C442,-1,0)),""))</f>
        <v/>
      </c>
      <c r="D442" s="11">
        <f>IF($K442=D$8,1+IF(OFFSET(D442,-1,0)="",0,OFFSET(D442,-1,0)),IF(D$8&lt;$K442,IF(OFFSET(D442,-1,0)="","ERR",OFFSET(D442,-1,0)),""))</f>
        <v/>
      </c>
      <c r="E442" s="11">
        <f>IF($K442=E$8,1+IF(OFFSET(E442,-1,0)="",0,OFFSET(E442,-1,0)),IF(E$8&lt;$K442,IF(OFFSET(E442,-1,0)="","ERR",OFFSET(E442,-1,0)),""))</f>
        <v/>
      </c>
      <c r="F442" s="11">
        <f>IF($K442=F$8,1+IF(OFFSET(F442,-1,0)="",0,OFFSET(F442,-1,0)),IF(F$8&lt;$K442,IF(OFFSET(F442,-1,0)="","ERR",OFFSET(F442,-1,0)),""))</f>
        <v/>
      </c>
      <c r="G442" s="11">
        <f>IF($K442=G$8,1+IF(OFFSET(G442,-1,0)="",0,OFFSET(G442,-1,0)),IF(G$8&lt;$K442,IF(OFFSET(G442,-1,0)="","ERR",OFFSET(G442,-1,0)),""))</f>
        <v/>
      </c>
      <c r="H442" s="11">
        <f>IF($K442=H$8,1+IF(OFFSET(H442,-1,0)="",0,OFFSET(H442,-1,0)),IF(H$8&lt;$K442,IF(OFFSET(H442,-1,0)="","ERR",OFFSET(H442,-1,0)),""))</f>
        <v/>
      </c>
      <c r="I442" s="11">
        <f>IF($K442=I$8,1+IF(OFFSET(I442,-1,0)="",0,OFFSET(I442,-1,0)),IF(I$8&lt;$K442,IF(OFFSET(I442,-1,0)="","ERR",OFFSET(I442,-1,0)),""))</f>
        <v/>
      </c>
      <c r="J442" s="46">
        <f>_xlfn.TEXTJOIN(".",1,B442:I442)</f>
        <v/>
      </c>
      <c r="K442" s="46" t="inlineStr">
        <is>
          <t>Л6</t>
        </is>
      </c>
      <c r="L442" s="46" t="inlineStr">
        <is>
          <t>3.3.3.21.2.17</t>
        </is>
      </c>
      <c r="M442" s="47" t="inlineStr">
        <is>
          <t>Монтаж магнитоконтактного извещателя накладного: Извещатель охранный магнитоуправляемый ИО 102-26 исп.00 «Аякс»</t>
        </is>
      </c>
      <c r="N442" s="46" t="inlineStr">
        <is>
          <t>шт</t>
        </is>
      </c>
      <c r="O442" s="94">
        <f>P442+Q442+S442+V442</f>
        <v/>
      </c>
      <c r="P442" s="46" t="n">
        <v>0</v>
      </c>
      <c r="Q442" s="46" t="n">
        <v>8</v>
      </c>
      <c r="R442" s="46" t="n">
        <v>8</v>
      </c>
      <c r="S442" s="46" t="n">
        <v>7</v>
      </c>
      <c r="T442" s="46" t="n">
        <v>7</v>
      </c>
      <c r="U442" s="46" t="n">
        <v>7</v>
      </c>
      <c r="V442" s="46" t="n">
        <v>7</v>
      </c>
      <c r="W442" s="46" t="n"/>
      <c r="X442" s="46" t="n"/>
      <c r="Y442" s="46" t="n"/>
      <c r="Z442" s="46" t="n"/>
      <c r="AA442" s="48" t="n"/>
      <c r="AB442" s="179" t="n"/>
      <c r="AC442" s="180" t="n">
        <v>550</v>
      </c>
      <c r="AD442" s="189">
        <f>SUM(AB442:AC442)</f>
        <v/>
      </c>
      <c r="AE442" s="189">
        <f>AB442*$O442</f>
        <v/>
      </c>
      <c r="AF442" s="189">
        <f>AC442*$O442</f>
        <v/>
      </c>
      <c r="AG442" s="189">
        <f>SUM(AE442:AF442)</f>
        <v/>
      </c>
      <c r="AH442" s="182" t="n"/>
    </row>
    <row r="443" outlineLevel="1" ht="25.5" customHeight="1">
      <c r="A443" s="18" t="inlineStr">
        <is>
          <t>О</t>
        </is>
      </c>
      <c r="B443" s="11">
        <f>IF($K443=B$8,1+IF(OFFSET(B443,-1,0)="",0,OFFSET(B443,-1,0)),IF(B$8&lt;$K443,IF(OFFSET(B443,-1,0)="","ERR",OFFSET(B443,-1,0)),""))</f>
        <v/>
      </c>
      <c r="C443" s="11">
        <f>IF($K443=C$8,1+IF(OFFSET(C443,-1,0)="",0,OFFSET(C443,-1,0)),IF(C$8&lt;$K443,IF(OFFSET(C443,-1,0)="","ERR",OFFSET(C443,-1,0)),""))</f>
        <v/>
      </c>
      <c r="D443" s="11">
        <f>IF($K443=D$8,1+IF(OFFSET(D443,-1,0)="",0,OFFSET(D443,-1,0)),IF(D$8&lt;$K443,IF(OFFSET(D443,-1,0)="","ERR",OFFSET(D443,-1,0)),""))</f>
        <v/>
      </c>
      <c r="E443" s="11">
        <f>IF($K443=E$8,1+IF(OFFSET(E443,-1,0)="",0,OFFSET(E443,-1,0)),IF(E$8&lt;$K443,IF(OFFSET(E443,-1,0)="","ERR",OFFSET(E443,-1,0)),""))</f>
        <v/>
      </c>
      <c r="F443" s="11">
        <f>IF($K443=F$8,1+IF(OFFSET(F443,-1,0)="",0,OFFSET(F443,-1,0)),IF(F$8&lt;$K443,IF(OFFSET(F443,-1,0)="","ERR",OFFSET(F443,-1,0)),""))</f>
        <v/>
      </c>
      <c r="G443" s="11">
        <f>IF($K443=G$8,1+IF(OFFSET(G443,-1,0)="",0,OFFSET(G443,-1,0)),IF(G$8&lt;$K443,IF(OFFSET(G443,-1,0)="","ERR",OFFSET(G443,-1,0)),""))</f>
        <v/>
      </c>
      <c r="H443" s="11">
        <f>IF($K443=H$8,1+IF(OFFSET(H443,-1,0)="",0,OFFSET(H443,-1,0)),IF(H$8&lt;$K443,IF(OFFSET(H443,-1,0)="","ERR",OFFSET(H443,-1,0)),""))</f>
        <v/>
      </c>
      <c r="I443" s="11">
        <f>IF($K443=I$8,1+IF(OFFSET(I443,-1,0)="",0,OFFSET(I443,-1,0)),IF(I$8&lt;$K443,IF(OFFSET(I443,-1,0)="","ERR",OFFSET(I443,-1,0)),""))</f>
        <v/>
      </c>
      <c r="J443" s="46">
        <f>_xlfn.TEXTJOIN(".",1,B443:I443)</f>
        <v/>
      </c>
      <c r="K443" s="46" t="inlineStr">
        <is>
          <t>Л6</t>
        </is>
      </c>
      <c r="L443" s="46" t="inlineStr">
        <is>
          <t>3.3.3.21.2.18</t>
        </is>
      </c>
      <c r="M443" s="47" t="inlineStr">
        <is>
          <t xml:space="preserve">Монтаж датчика температуры: Датчик температуры канальный NTC10K, IP54, 2м, HTF-NTC10K, Shuft
Учесть: Фланец монтажный OptiSensor MF-6, 285971, OptiSensor </t>
        </is>
      </c>
      <c r="N443" s="46" t="inlineStr">
        <is>
          <t>шт</t>
        </is>
      </c>
      <c r="O443" s="94">
        <f>P443+Q443+S443+V443</f>
        <v/>
      </c>
      <c r="P443" s="46" t="n">
        <v>0</v>
      </c>
      <c r="Q443" s="46" t="n">
        <v>1</v>
      </c>
      <c r="R443" s="46" t="n">
        <v>1</v>
      </c>
      <c r="S443" s="46" t="n">
        <v>1</v>
      </c>
      <c r="T443" s="46" t="n">
        <v>1</v>
      </c>
      <c r="U443" s="46" t="n">
        <v>1</v>
      </c>
      <c r="V443" s="46" t="n">
        <v>1</v>
      </c>
      <c r="W443" s="46" t="n"/>
      <c r="X443" s="46" t="n"/>
      <c r="Y443" s="46" t="n"/>
      <c r="Z443" s="46" t="n"/>
      <c r="AA443" s="48" t="n"/>
      <c r="AB443" s="179" t="n"/>
      <c r="AC443" s="180" t="n">
        <v>3200</v>
      </c>
      <c r="AD443" s="189">
        <f>SUM(AB443:AC443)</f>
        <v/>
      </c>
      <c r="AE443" s="189">
        <f>AB443*$O443</f>
        <v/>
      </c>
      <c r="AF443" s="189">
        <f>AC443*$O443</f>
        <v/>
      </c>
      <c r="AG443" s="189">
        <f>SUM(AE443:AF443)</f>
        <v/>
      </c>
      <c r="AH443" s="182" t="n"/>
    </row>
    <row r="444" outlineLevel="1" ht="25.5" customHeight="1">
      <c r="A444" s="18" t="inlineStr">
        <is>
          <t>О</t>
        </is>
      </c>
      <c r="B444" s="11">
        <f>IF($K444=B$8,1+IF(OFFSET(B444,-1,0)="",0,OFFSET(B444,-1,0)),IF(B$8&lt;$K444,IF(OFFSET(B444,-1,0)="","ERR",OFFSET(B444,-1,0)),""))</f>
        <v/>
      </c>
      <c r="C444" s="11">
        <f>IF($K444=C$8,1+IF(OFFSET(C444,-1,0)="",0,OFFSET(C444,-1,0)),IF(C$8&lt;$K444,IF(OFFSET(C444,-1,0)="","ERR",OFFSET(C444,-1,0)),""))</f>
        <v/>
      </c>
      <c r="D444" s="11">
        <f>IF($K444=D$8,1+IF(OFFSET(D444,-1,0)="",0,OFFSET(D444,-1,0)),IF(D$8&lt;$K444,IF(OFFSET(D444,-1,0)="","ERR",OFFSET(D444,-1,0)),""))</f>
        <v/>
      </c>
      <c r="E444" s="11">
        <f>IF($K444=E$8,1+IF(OFFSET(E444,-1,0)="",0,OFFSET(E444,-1,0)),IF(E$8&lt;$K444,IF(OFFSET(E444,-1,0)="","ERR",OFFSET(E444,-1,0)),""))</f>
        <v/>
      </c>
      <c r="F444" s="11">
        <f>IF($K444=F$8,1+IF(OFFSET(F444,-1,0)="",0,OFFSET(F444,-1,0)),IF(F$8&lt;$K444,IF(OFFSET(F444,-1,0)="","ERR",OFFSET(F444,-1,0)),""))</f>
        <v/>
      </c>
      <c r="G444" s="11">
        <f>IF($K444=G$8,1+IF(OFFSET(G444,-1,0)="",0,OFFSET(G444,-1,0)),IF(G$8&lt;$K444,IF(OFFSET(G444,-1,0)="","ERR",OFFSET(G444,-1,0)),""))</f>
        <v/>
      </c>
      <c r="H444" s="11">
        <f>IF($K444=H$8,1+IF(OFFSET(H444,-1,0)="",0,OFFSET(H444,-1,0)),IF(H$8&lt;$K444,IF(OFFSET(H444,-1,0)="","ERR",OFFSET(H444,-1,0)),""))</f>
        <v/>
      </c>
      <c r="I444" s="11">
        <f>IF($K444=I$8,1+IF(OFFSET(I444,-1,0)="",0,OFFSET(I444,-1,0)),IF(I$8&lt;$K444,IF(OFFSET(I444,-1,0)="","ERR",OFFSET(I444,-1,0)),""))</f>
        <v/>
      </c>
      <c r="J444" s="46">
        <f>_xlfn.TEXTJOIN(".",1,B444:I444)</f>
        <v/>
      </c>
      <c r="K444" s="46" t="inlineStr">
        <is>
          <t>Л6</t>
        </is>
      </c>
      <c r="L444" s="46" t="inlineStr">
        <is>
          <t>3.3.3.21.2.19</t>
        </is>
      </c>
      <c r="M444" s="47" t="inlineStr">
        <is>
          <t>Монтаж аккумуляторной батареи: Аккумулятор свинцово-кислотный PTK-BATTERY АКБ 12V – 7Ah, ООО «ТехноЛайт»</t>
        </is>
      </c>
      <c r="N444" s="46" t="inlineStr">
        <is>
          <t>шт</t>
        </is>
      </c>
      <c r="O444" s="94">
        <f>P444+Q444+S444+V444</f>
        <v/>
      </c>
      <c r="P444" s="46" t="n"/>
      <c r="Q444" s="46" t="n">
        <v>10</v>
      </c>
      <c r="R444" s="46" t="n">
        <v>10</v>
      </c>
      <c r="S444" s="46" t="n">
        <v>12</v>
      </c>
      <c r="T444" s="46" t="n">
        <v>12</v>
      </c>
      <c r="U444" s="46" t="n">
        <v>8</v>
      </c>
      <c r="V444" s="46" t="n">
        <v>8</v>
      </c>
      <c r="W444" s="46" t="n"/>
      <c r="X444" s="46" t="n"/>
      <c r="Y444" s="46" t="n"/>
      <c r="Z444" s="46" t="n"/>
      <c r="AA444" s="48" t="n"/>
      <c r="AB444" s="179" t="n"/>
      <c r="AC444" s="180" t="n">
        <v>400</v>
      </c>
      <c r="AD444" s="189">
        <f>SUM(AB444:AC444)</f>
        <v/>
      </c>
      <c r="AE444" s="189">
        <f>AB444*$O444</f>
        <v/>
      </c>
      <c r="AF444" s="189">
        <f>AC444*$O444</f>
        <v/>
      </c>
      <c r="AG444" s="189">
        <f>SUM(AE444:AF444)</f>
        <v/>
      </c>
      <c r="AH444" s="182" t="n"/>
    </row>
    <row r="445" outlineLevel="1" ht="25.5" customHeight="1">
      <c r="A445" s="18" t="inlineStr">
        <is>
          <t>О</t>
        </is>
      </c>
      <c r="B445" s="11">
        <f>IF($K445=B$8,1+IF(OFFSET(B445,-1,0)="",0,OFFSET(B445,-1,0)),IF(B$8&lt;$K445,IF(OFFSET(B445,-1,0)="","ERR",OFFSET(B445,-1,0)),""))</f>
        <v/>
      </c>
      <c r="C445" s="11">
        <f>IF($K445=C$8,1+IF(OFFSET(C445,-1,0)="",0,OFFSET(C445,-1,0)),IF(C$8&lt;$K445,IF(OFFSET(C445,-1,0)="","ERR",OFFSET(C445,-1,0)),""))</f>
        <v/>
      </c>
      <c r="D445" s="11">
        <f>IF($K445=D$8,1+IF(OFFSET(D445,-1,0)="",0,OFFSET(D445,-1,0)),IF(D$8&lt;$K445,IF(OFFSET(D445,-1,0)="","ERR",OFFSET(D445,-1,0)),""))</f>
        <v/>
      </c>
      <c r="E445" s="11">
        <f>IF($K445=E$8,1+IF(OFFSET(E445,-1,0)="",0,OFFSET(E445,-1,0)),IF(E$8&lt;$K445,IF(OFFSET(E445,-1,0)="","ERR",OFFSET(E445,-1,0)),""))</f>
        <v/>
      </c>
      <c r="F445" s="11">
        <f>IF($K445=F$8,1+IF(OFFSET(F445,-1,0)="",0,OFFSET(F445,-1,0)),IF(F$8&lt;$K445,IF(OFFSET(F445,-1,0)="","ERR",OFFSET(F445,-1,0)),""))</f>
        <v/>
      </c>
      <c r="G445" s="11">
        <f>IF($K445=G$8,1+IF(OFFSET(G445,-1,0)="",0,OFFSET(G445,-1,0)),IF(G$8&lt;$K445,IF(OFFSET(G445,-1,0)="","ERR",OFFSET(G445,-1,0)),""))</f>
        <v/>
      </c>
      <c r="H445" s="11">
        <f>IF($K445=H$8,1+IF(OFFSET(H445,-1,0)="",0,OFFSET(H445,-1,0)),IF(H$8&lt;$K445,IF(OFFSET(H445,-1,0)="","ERR",OFFSET(H445,-1,0)),""))</f>
        <v/>
      </c>
      <c r="I445" s="11">
        <f>IF($K445=I$8,1+IF(OFFSET(I445,-1,0)="",0,OFFSET(I445,-1,0)),IF(I$8&lt;$K445,IF(OFFSET(I445,-1,0)="","ERR",OFFSET(I445,-1,0)),""))</f>
        <v/>
      </c>
      <c r="J445" s="46">
        <f>_xlfn.TEXTJOIN(".",1,B445:I445)</f>
        <v/>
      </c>
      <c r="K445" s="46" t="inlineStr">
        <is>
          <t>Л6</t>
        </is>
      </c>
      <c r="L445" s="46" t="inlineStr">
        <is>
          <t>3.3.3.21.2.19</t>
        </is>
      </c>
      <c r="M445" s="47" t="inlineStr">
        <is>
          <t>Монтаж аккумуляторной батареи: Аккумулятор свинцово-кислотный PTK-BATTERY АКБ 12V – 26Ah, ООО «ТехноЛайт»</t>
        </is>
      </c>
      <c r="N445" s="46" t="inlineStr">
        <is>
          <t>шт</t>
        </is>
      </c>
      <c r="O445" s="94">
        <f>P445+Q445+S445+V445</f>
        <v/>
      </c>
      <c r="P445" s="46" t="n"/>
      <c r="Q445" s="46" t="n">
        <v>10</v>
      </c>
      <c r="R445" s="46" t="n">
        <v>10</v>
      </c>
      <c r="S445" s="46" t="n">
        <v>12</v>
      </c>
      <c r="T445" s="46" t="n">
        <v>12</v>
      </c>
      <c r="U445" s="46" t="n">
        <v>8</v>
      </c>
      <c r="V445" s="46" t="n">
        <v>8</v>
      </c>
      <c r="W445" s="46" t="n"/>
      <c r="X445" s="46" t="n"/>
      <c r="Y445" s="46" t="n"/>
      <c r="Z445" s="46" t="n"/>
      <c r="AA445" s="48" t="n"/>
      <c r="AB445" s="179" t="n"/>
      <c r="AC445" s="180" t="n">
        <v>550</v>
      </c>
      <c r="AD445" s="189">
        <f>SUM(AB445:AC445)</f>
        <v/>
      </c>
      <c r="AE445" s="189">
        <f>AB445*$O445</f>
        <v/>
      </c>
      <c r="AF445" s="189">
        <f>AC445*$O445</f>
        <v/>
      </c>
      <c r="AG445" s="189">
        <f>SUM(AE445:AF445)</f>
        <v/>
      </c>
      <c r="AH445" s="182" t="n"/>
    </row>
    <row r="446" outlineLevel="1">
      <c r="A446" s="18" t="n"/>
      <c r="B446" s="11">
        <f>IF($K446=B$8,1+IF(OFFSET(B446,-1,0)="",0,OFFSET(B446,-1,0)),IF(B$8&lt;$K446,IF(OFFSET(B446,-1,0)="","ERR",OFFSET(B446,-1,0)),""))</f>
        <v/>
      </c>
      <c r="C446" s="11">
        <f>IF($K446=C$8,1+IF(OFFSET(C446,-1,0)="",0,OFFSET(C446,-1,0)),IF(C$8&lt;$K446,IF(OFFSET(C446,-1,0)="","ERR",OFFSET(C446,-1,0)),""))</f>
        <v/>
      </c>
      <c r="D446" s="11">
        <f>IF($K446=D$8,1+IF(OFFSET(D446,-1,0)="",0,OFFSET(D446,-1,0)),IF(D$8&lt;$K446,IF(OFFSET(D446,-1,0)="","ERR",OFFSET(D446,-1,0)),""))</f>
        <v/>
      </c>
      <c r="E446" s="11">
        <f>IF($K446=E$8,1+IF(OFFSET(E446,-1,0)="",0,OFFSET(E446,-1,0)),IF(E$8&lt;$K446,IF(OFFSET(E446,-1,0)="","ERR",OFFSET(E446,-1,0)),""))</f>
        <v/>
      </c>
      <c r="F446" s="11">
        <f>IF($K446=F$8,1+IF(OFFSET(F446,-1,0)="",0,OFFSET(F446,-1,0)),IF(F$8&lt;$K446,IF(OFFSET(F446,-1,0)="","ERR",OFFSET(F446,-1,0)),""))</f>
        <v/>
      </c>
      <c r="G446" s="11">
        <f>IF($K446=G$8,1+IF(OFFSET(G446,-1,0)="",0,OFFSET(G446,-1,0)),IF(G$8&lt;$K446,IF(OFFSET(G446,-1,0)="","ERR",OFFSET(G446,-1,0)),""))</f>
        <v/>
      </c>
      <c r="H446" s="11">
        <f>IF($K446=H$8,1+IF(OFFSET(H446,-1,0)="",0,OFFSET(H446,-1,0)),IF(H$8&lt;$K446,IF(OFFSET(H446,-1,0)="","ERR",OFFSET(H446,-1,0)),""))</f>
        <v/>
      </c>
      <c r="I446" s="11">
        <f>IF($K446=I$8,1+IF(OFFSET(I446,-1,0)="",0,OFFSET(I446,-1,0)),IF(I$8&lt;$K446,IF(OFFSET(I446,-1,0)="","ERR",OFFSET(I446,-1,0)),""))</f>
        <v/>
      </c>
      <c r="J446" s="43">
        <f>_xlfn.TEXTJOIN(".",1,B446:I446)</f>
        <v/>
      </c>
      <c r="K446" s="43" t="inlineStr">
        <is>
          <t>Л5</t>
        </is>
      </c>
      <c r="L446" s="43" t="inlineStr">
        <is>
          <t>3.3.3.21.3</t>
        </is>
      </c>
      <c r="M446" s="44" t="inlineStr">
        <is>
          <t>Кабельно-проводниковая продукция</t>
        </is>
      </c>
      <c r="N446" s="43" t="n"/>
      <c r="O446" s="9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  <c r="AA446" s="45" t="n"/>
      <c r="AB446" s="185" t="n"/>
      <c r="AC446" s="186" t="n"/>
      <c r="AD446" s="186" t="n"/>
      <c r="AE446" s="186" t="n"/>
      <c r="AF446" s="186" t="n"/>
      <c r="AG446" s="186" t="n"/>
      <c r="AH446" s="178" t="n"/>
    </row>
    <row r="447" outlineLevel="1" ht="25.5" customHeight="1">
      <c r="A447" s="18" t="inlineStr">
        <is>
          <t>О</t>
        </is>
      </c>
      <c r="B447" s="11">
        <f>IF($K447=B$8,1+IF(OFFSET(B447,-1,0)="",0,OFFSET(B447,-1,0)),IF(B$8&lt;$K447,IF(OFFSET(B447,-1,0)="","ERR",OFFSET(B447,-1,0)),""))</f>
        <v/>
      </c>
      <c r="C447" s="11">
        <f>IF($K447=C$8,1+IF(OFFSET(C447,-1,0)="",0,OFFSET(C447,-1,0)),IF(C$8&lt;$K447,IF(OFFSET(C447,-1,0)="","ERR",OFFSET(C447,-1,0)),""))</f>
        <v/>
      </c>
      <c r="D447" s="11">
        <f>IF($K447=D$8,1+IF(OFFSET(D447,-1,0)="",0,OFFSET(D447,-1,0)),IF(D$8&lt;$K447,IF(OFFSET(D447,-1,0)="","ERR",OFFSET(D447,-1,0)),""))</f>
        <v/>
      </c>
      <c r="E447" s="11">
        <f>IF($K447=E$8,1+IF(OFFSET(E447,-1,0)="",0,OFFSET(E447,-1,0)),IF(E$8&lt;$K447,IF(OFFSET(E447,-1,0)="","ERR",OFFSET(E447,-1,0)),""))</f>
        <v/>
      </c>
      <c r="F447" s="11">
        <f>IF($K447=F$8,1+IF(OFFSET(F447,-1,0)="",0,OFFSET(F447,-1,0)),IF(F$8&lt;$K447,IF(OFFSET(F447,-1,0)="","ERR",OFFSET(F447,-1,0)),""))</f>
        <v/>
      </c>
      <c r="G447" s="11">
        <f>IF($K447=G$8,1+IF(OFFSET(G447,-1,0)="",0,OFFSET(G447,-1,0)),IF(G$8&lt;$K447,IF(OFFSET(G447,-1,0)="","ERR",OFFSET(G447,-1,0)),""))</f>
        <v/>
      </c>
      <c r="H447" s="11">
        <f>IF($K447=H$8,1+IF(OFFSET(H447,-1,0)="",0,OFFSET(H447,-1,0)),IF(H$8&lt;$K447,IF(OFFSET(H447,-1,0)="","ERR",OFFSET(H447,-1,0)),""))</f>
        <v/>
      </c>
      <c r="I447" s="11">
        <f>IF($K447=I$8,1+IF(OFFSET(I447,-1,0)="",0,OFFSET(I447,-1,0)),IF(I$8&lt;$K447,IF(OFFSET(I447,-1,0)="","ERR",OFFSET(I447,-1,0)),""))</f>
        <v/>
      </c>
      <c r="J447" s="46">
        <f>_xlfn.TEXTJOIN(".",1,B447:I447)</f>
        <v/>
      </c>
      <c r="K447" s="46" t="inlineStr">
        <is>
          <t>Л6</t>
        </is>
      </c>
      <c r="L447" s="46" t="inlineStr">
        <is>
          <t>3.3.3.21.3.1</t>
        </is>
      </c>
      <c r="M447" s="47" t="inlineStr">
        <is>
          <t>Прокладка кабеля/провода слаботочных систем и автоматики по конструкциям и в трубах здания: Кабель  Кабель КПСнг(А)-FRHF 1×2×0,75, ТУ 42.22.12-098-47273194-2018</t>
        </is>
      </c>
      <c r="N447" s="46" t="inlineStr">
        <is>
          <t>пог. м</t>
        </is>
      </c>
      <c r="O447" s="94">
        <f>P447+Q447+S447+V447</f>
        <v/>
      </c>
      <c r="P447" s="46" t="n">
        <v>263</v>
      </c>
      <c r="Q447" s="46">
        <f>2740+196</f>
        <v/>
      </c>
      <c r="R447" s="46">
        <f>2740+196</f>
        <v/>
      </c>
      <c r="S447" s="46">
        <f>3450+71</f>
        <v/>
      </c>
      <c r="T447" s="46">
        <f>3450+71</f>
        <v/>
      </c>
      <c r="U447" s="46">
        <f>1420+180</f>
        <v/>
      </c>
      <c r="V447" s="46">
        <f>1420+180</f>
        <v/>
      </c>
      <c r="W447" s="46" t="n"/>
      <c r="X447" s="46" t="n"/>
      <c r="Y447" s="46" t="n"/>
      <c r="Z447" s="46" t="n"/>
      <c r="AA447" s="48" t="n"/>
      <c r="AB447" s="179" t="n"/>
      <c r="AC447" s="180" t="n">
        <v>90</v>
      </c>
      <c r="AD447" s="189">
        <f>SUM(AB447:AC447)</f>
        <v/>
      </c>
      <c r="AE447" s="189">
        <f>AB447*$O447</f>
        <v/>
      </c>
      <c r="AF447" s="189">
        <f>AC447*$O447</f>
        <v/>
      </c>
      <c r="AG447" s="189">
        <f>SUM(AE447:AF447)</f>
        <v/>
      </c>
      <c r="AH447" s="182" t="n"/>
    </row>
    <row r="448" outlineLevel="1" ht="25.5" customHeight="1">
      <c r="A448" s="18" t="inlineStr">
        <is>
          <t>О</t>
        </is>
      </c>
      <c r="B448" s="11">
        <f>IF($K448=B$8,1+IF(OFFSET(B448,-1,0)="",0,OFFSET(B448,-1,0)),IF(B$8&lt;$K448,IF(OFFSET(B448,-1,0)="","ERR",OFFSET(B448,-1,0)),""))</f>
        <v/>
      </c>
      <c r="C448" s="11">
        <f>IF($K448=C$8,1+IF(OFFSET(C448,-1,0)="",0,OFFSET(C448,-1,0)),IF(C$8&lt;$K448,IF(OFFSET(C448,-1,0)="","ERR",OFFSET(C448,-1,0)),""))</f>
        <v/>
      </c>
      <c r="D448" s="11">
        <f>IF($K448=D$8,1+IF(OFFSET(D448,-1,0)="",0,OFFSET(D448,-1,0)),IF(D$8&lt;$K448,IF(OFFSET(D448,-1,0)="","ERR",OFFSET(D448,-1,0)),""))</f>
        <v/>
      </c>
      <c r="E448" s="11">
        <f>IF($K448=E$8,1+IF(OFFSET(E448,-1,0)="",0,OFFSET(E448,-1,0)),IF(E$8&lt;$K448,IF(OFFSET(E448,-1,0)="","ERR",OFFSET(E448,-1,0)),""))</f>
        <v/>
      </c>
      <c r="F448" s="11">
        <f>IF($K448=F$8,1+IF(OFFSET(F448,-1,0)="",0,OFFSET(F448,-1,0)),IF(F$8&lt;$K448,IF(OFFSET(F448,-1,0)="","ERR",OFFSET(F448,-1,0)),""))</f>
        <v/>
      </c>
      <c r="G448" s="11">
        <f>IF($K448=G$8,1+IF(OFFSET(G448,-1,0)="",0,OFFSET(G448,-1,0)),IF(G$8&lt;$K448,IF(OFFSET(G448,-1,0)="","ERR",OFFSET(G448,-1,0)),""))</f>
        <v/>
      </c>
      <c r="H448" s="11">
        <f>IF($K448=H$8,1+IF(OFFSET(H448,-1,0)="",0,OFFSET(H448,-1,0)),IF(H$8&lt;$K448,IF(OFFSET(H448,-1,0)="","ERR",OFFSET(H448,-1,0)),""))</f>
        <v/>
      </c>
      <c r="I448" s="11">
        <f>IF($K448=I$8,1+IF(OFFSET(I448,-1,0)="",0,OFFSET(I448,-1,0)),IF(I$8&lt;$K448,IF(OFFSET(I448,-1,0)="","ERR",OFFSET(I448,-1,0)),""))</f>
        <v/>
      </c>
      <c r="J448" s="46">
        <f>_xlfn.TEXTJOIN(".",1,B448:I448)</f>
        <v/>
      </c>
      <c r="K448" s="46" t="inlineStr">
        <is>
          <t>Л6</t>
        </is>
      </c>
      <c r="L448" s="46" t="inlineStr">
        <is>
          <t>3.3.3.21.3.1</t>
        </is>
      </c>
      <c r="M448" s="47" t="inlineStr">
        <is>
          <t>Прокладка кабеля/провода слаботочных систем и автоматики по конструкциям и в трубах здания: Кабель КУНРС Пнг(А)-FRHF 2×1,5, ТУ 42.22.12-134-47273194-2024</t>
        </is>
      </c>
      <c r="N448" s="46" t="inlineStr">
        <is>
          <t>пог. м</t>
        </is>
      </c>
      <c r="O448" s="94">
        <f>P448+Q448+S448+V448</f>
        <v/>
      </c>
      <c r="P448" s="46" t="n">
        <v>99</v>
      </c>
      <c r="Q448" s="46" t="n">
        <v>22</v>
      </c>
      <c r="R448" s="46" t="n">
        <v>22</v>
      </c>
      <c r="S448" s="46" t="n">
        <v>22</v>
      </c>
      <c r="T448" s="46" t="n">
        <v>22</v>
      </c>
      <c r="U448" s="46" t="n">
        <v>22</v>
      </c>
      <c r="V448" s="46" t="n">
        <v>22</v>
      </c>
      <c r="W448" s="46" t="n"/>
      <c r="X448" s="46" t="n"/>
      <c r="Y448" s="46" t="n"/>
      <c r="Z448" s="46" t="n"/>
      <c r="AA448" s="48" t="n"/>
      <c r="AB448" s="179" t="n"/>
      <c r="AC448" s="180" t="n">
        <v>110</v>
      </c>
      <c r="AD448" s="189">
        <f>SUM(AB448:AC448)</f>
        <v/>
      </c>
      <c r="AE448" s="189">
        <f>AB448*$O448</f>
        <v/>
      </c>
      <c r="AF448" s="189">
        <f>AC448*$O448</f>
        <v/>
      </c>
      <c r="AG448" s="189">
        <f>SUM(AE448:AF448)</f>
        <v/>
      </c>
      <c r="AH448" s="182" t="n"/>
    </row>
    <row r="449" outlineLevel="1" ht="25.5" customHeight="1">
      <c r="A449" s="18" t="inlineStr">
        <is>
          <t>О</t>
        </is>
      </c>
      <c r="B449" s="11">
        <f>IF($K449=B$8,1+IF(OFFSET(B449,-1,0)="",0,OFFSET(B449,-1,0)),IF(B$8&lt;$K449,IF(OFFSET(B449,-1,0)="","ERR",OFFSET(B449,-1,0)),""))</f>
        <v/>
      </c>
      <c r="C449" s="11">
        <f>IF($K449=C$8,1+IF(OFFSET(C449,-1,0)="",0,OFFSET(C449,-1,0)),IF(C$8&lt;$K449,IF(OFFSET(C449,-1,0)="","ERR",OFFSET(C449,-1,0)),""))</f>
        <v/>
      </c>
      <c r="D449" s="11">
        <f>IF($K449=D$8,1+IF(OFFSET(D449,-1,0)="",0,OFFSET(D449,-1,0)),IF(D$8&lt;$K449,IF(OFFSET(D449,-1,0)="","ERR",OFFSET(D449,-1,0)),""))</f>
        <v/>
      </c>
      <c r="E449" s="11">
        <f>IF($K449=E$8,1+IF(OFFSET(E449,-1,0)="",0,OFFSET(E449,-1,0)),IF(E$8&lt;$K449,IF(OFFSET(E449,-1,0)="","ERR",OFFSET(E449,-1,0)),""))</f>
        <v/>
      </c>
      <c r="F449" s="11">
        <f>IF($K449=F$8,1+IF(OFFSET(F449,-1,0)="",0,OFFSET(F449,-1,0)),IF(F$8&lt;$K449,IF(OFFSET(F449,-1,0)="","ERR",OFFSET(F449,-1,0)),""))</f>
        <v/>
      </c>
      <c r="G449" s="11">
        <f>IF($K449=G$8,1+IF(OFFSET(G449,-1,0)="",0,OFFSET(G449,-1,0)),IF(G$8&lt;$K449,IF(OFFSET(G449,-1,0)="","ERR",OFFSET(G449,-1,0)),""))</f>
        <v/>
      </c>
      <c r="H449" s="11">
        <f>IF($K449=H$8,1+IF(OFFSET(H449,-1,0)="",0,OFFSET(H449,-1,0)),IF(H$8&lt;$K449,IF(OFFSET(H449,-1,0)="","ERR",OFFSET(H449,-1,0)),""))</f>
        <v/>
      </c>
      <c r="I449" s="11">
        <f>IF($K449=I$8,1+IF(OFFSET(I449,-1,0)="",0,OFFSET(I449,-1,0)),IF(I$8&lt;$K449,IF(OFFSET(I449,-1,0)="","ERR",OFFSET(I449,-1,0)),""))</f>
        <v/>
      </c>
      <c r="J449" s="46">
        <f>_xlfn.TEXTJOIN(".",1,B449:I449)</f>
        <v/>
      </c>
      <c r="K449" s="46" t="inlineStr">
        <is>
          <t>Л6</t>
        </is>
      </c>
      <c r="L449" s="46" t="inlineStr">
        <is>
          <t>3.3.3.21.3.1</t>
        </is>
      </c>
      <c r="M449" s="47" t="inlineStr">
        <is>
          <t>Прокладка кабеля/провода слаботочных систем и автоматики по конструкциям и в трубах здания: Кабель КУНРС Пнг(А)-FRHF 3×1,5, ТУ 42.22.12-134-47273194-2024</t>
        </is>
      </c>
      <c r="N449" s="46" t="inlineStr">
        <is>
          <t>пог. м</t>
        </is>
      </c>
      <c r="O449" s="94">
        <f>P449+Q449+S449+V449</f>
        <v/>
      </c>
      <c r="P449" s="46" t="n">
        <v>211</v>
      </c>
      <c r="Q449" s="46" t="n">
        <v>157</v>
      </c>
      <c r="R449" s="46" t="n">
        <v>157</v>
      </c>
      <c r="S449" s="46" t="n">
        <v>57</v>
      </c>
      <c r="T449" s="46" t="n">
        <v>57</v>
      </c>
      <c r="U449" s="46" t="n">
        <v>145</v>
      </c>
      <c r="V449" s="46" t="n">
        <v>145</v>
      </c>
      <c r="W449" s="46" t="n"/>
      <c r="X449" s="46" t="n"/>
      <c r="Y449" s="46" t="n"/>
      <c r="Z449" s="46" t="n"/>
      <c r="AA449" s="48" t="n"/>
      <c r="AB449" s="179" t="n"/>
      <c r="AC449" s="180" t="n">
        <v>120</v>
      </c>
      <c r="AD449" s="189">
        <f>SUM(AB449:AC449)</f>
        <v/>
      </c>
      <c r="AE449" s="189">
        <f>AB449*$O449</f>
        <v/>
      </c>
      <c r="AF449" s="189">
        <f>AC449*$O449</f>
        <v/>
      </c>
      <c r="AG449" s="189">
        <f>SUM(AE449:AF449)</f>
        <v/>
      </c>
      <c r="AH449" s="182" t="n"/>
    </row>
    <row r="450" outlineLevel="1" ht="25.5" customHeight="1">
      <c r="A450" s="18" t="inlineStr">
        <is>
          <t>О</t>
        </is>
      </c>
      <c r="B450" s="11">
        <f>IF($K450=B$8,1+IF(OFFSET(B450,-1,0)="",0,OFFSET(B450,-1,0)),IF(B$8&lt;$K450,IF(OFFSET(B450,-1,0)="","ERR",OFFSET(B450,-1,0)),""))</f>
        <v/>
      </c>
      <c r="C450" s="11">
        <f>IF($K450=C$8,1+IF(OFFSET(C450,-1,0)="",0,OFFSET(C450,-1,0)),IF(C$8&lt;$K450,IF(OFFSET(C450,-1,0)="","ERR",OFFSET(C450,-1,0)),""))</f>
        <v/>
      </c>
      <c r="D450" s="11">
        <f>IF($K450=D$8,1+IF(OFFSET(D450,-1,0)="",0,OFFSET(D450,-1,0)),IF(D$8&lt;$K450,IF(OFFSET(D450,-1,0)="","ERR",OFFSET(D450,-1,0)),""))</f>
        <v/>
      </c>
      <c r="E450" s="11">
        <f>IF($K450=E$8,1+IF(OFFSET(E450,-1,0)="",0,OFFSET(E450,-1,0)),IF(E$8&lt;$K450,IF(OFFSET(E450,-1,0)="","ERR",OFFSET(E450,-1,0)),""))</f>
        <v/>
      </c>
      <c r="F450" s="11">
        <f>IF($K450=F$8,1+IF(OFFSET(F450,-1,0)="",0,OFFSET(F450,-1,0)),IF(F$8&lt;$K450,IF(OFFSET(F450,-1,0)="","ERR",OFFSET(F450,-1,0)),""))</f>
        <v/>
      </c>
      <c r="G450" s="11">
        <f>IF($K450=G$8,1+IF(OFFSET(G450,-1,0)="",0,OFFSET(G450,-1,0)),IF(G$8&lt;$K450,IF(OFFSET(G450,-1,0)="","ERR",OFFSET(G450,-1,0)),""))</f>
        <v/>
      </c>
      <c r="H450" s="11">
        <f>IF($K450=H$8,1+IF(OFFSET(H450,-1,0)="",0,OFFSET(H450,-1,0)),IF(H$8&lt;$K450,IF(OFFSET(H450,-1,0)="","ERR",OFFSET(H450,-1,0)),""))</f>
        <v/>
      </c>
      <c r="I450" s="11">
        <f>IF($K450=I$8,1+IF(OFFSET(I450,-1,0)="",0,OFFSET(I450,-1,0)),IF(I$8&lt;$K450,IF(OFFSET(I450,-1,0)="","ERR",OFFSET(I450,-1,0)),""))</f>
        <v/>
      </c>
      <c r="J450" s="46">
        <f>_xlfn.TEXTJOIN(".",1,B450:I450)</f>
        <v/>
      </c>
      <c r="K450" s="46" t="inlineStr">
        <is>
          <t>Л6</t>
        </is>
      </c>
      <c r="L450" s="46" t="inlineStr">
        <is>
          <t>3.3.3.21.3.1</t>
        </is>
      </c>
      <c r="M450" s="47" t="inlineStr">
        <is>
          <t>Прокладка кабеля/провода слаботочных систем и автоматики по конструкциям и в трубах здания: Кабель КУНРС Пнг(А)-FRHF 4×2,5, ТУ 42.22.12-134-47273194-2024</t>
        </is>
      </c>
      <c r="N450" s="46" t="inlineStr">
        <is>
          <t>пог. м</t>
        </is>
      </c>
      <c r="O450" s="94">
        <f>P450+Q450+S450+V450</f>
        <v/>
      </c>
      <c r="P450" s="46" t="n">
        <v>15</v>
      </c>
      <c r="Q450" s="46" t="n">
        <v>110</v>
      </c>
      <c r="R450" s="46" t="n">
        <v>110</v>
      </c>
      <c r="S450" s="46" t="n">
        <v>95</v>
      </c>
      <c r="T450" s="46" t="n">
        <v>95</v>
      </c>
      <c r="U450" s="46" t="n">
        <v>140</v>
      </c>
      <c r="V450" s="46" t="n">
        <v>140</v>
      </c>
      <c r="W450" s="46" t="n"/>
      <c r="X450" s="46" t="n"/>
      <c r="Y450" s="46" t="n"/>
      <c r="Z450" s="46" t="n"/>
      <c r="AA450" s="48" t="n"/>
      <c r="AB450" s="179" t="n"/>
      <c r="AC450" s="180" t="n">
        <v>145</v>
      </c>
      <c r="AD450" s="189">
        <f>SUM(AB450:AC450)</f>
        <v/>
      </c>
      <c r="AE450" s="189">
        <f>AB450*$O450</f>
        <v/>
      </c>
      <c r="AF450" s="189">
        <f>AC450*$O450</f>
        <v/>
      </c>
      <c r="AG450" s="189">
        <f>SUM(AE450:AF450)</f>
        <v/>
      </c>
      <c r="AH450" s="182" t="n"/>
    </row>
    <row r="451" outlineLevel="1" ht="25.5" customHeight="1">
      <c r="A451" s="18" t="inlineStr">
        <is>
          <t>О</t>
        </is>
      </c>
      <c r="B451" s="11">
        <f>IF($K451=B$8,1+IF(OFFSET(B451,-1,0)="",0,OFFSET(B451,-1,0)),IF(B$8&lt;$K451,IF(OFFSET(B451,-1,0)="","ERR",OFFSET(B451,-1,0)),""))</f>
        <v/>
      </c>
      <c r="C451" s="11">
        <f>IF($K451=C$8,1+IF(OFFSET(C451,-1,0)="",0,OFFSET(C451,-1,0)),IF(C$8&lt;$K451,IF(OFFSET(C451,-1,0)="","ERR",OFFSET(C451,-1,0)),""))</f>
        <v/>
      </c>
      <c r="D451" s="11">
        <f>IF($K451=D$8,1+IF(OFFSET(D451,-1,0)="",0,OFFSET(D451,-1,0)),IF(D$8&lt;$K451,IF(OFFSET(D451,-1,0)="","ERR",OFFSET(D451,-1,0)),""))</f>
        <v/>
      </c>
      <c r="E451" s="11">
        <f>IF($K451=E$8,1+IF(OFFSET(E451,-1,0)="",0,OFFSET(E451,-1,0)),IF(E$8&lt;$K451,IF(OFFSET(E451,-1,0)="","ERR",OFFSET(E451,-1,0)),""))</f>
        <v/>
      </c>
      <c r="F451" s="11">
        <f>IF($K451=F$8,1+IF(OFFSET(F451,-1,0)="",0,OFFSET(F451,-1,0)),IF(F$8&lt;$K451,IF(OFFSET(F451,-1,0)="","ERR",OFFSET(F451,-1,0)),""))</f>
        <v/>
      </c>
      <c r="G451" s="11">
        <f>IF($K451=G$8,1+IF(OFFSET(G451,-1,0)="",0,OFFSET(G451,-1,0)),IF(G$8&lt;$K451,IF(OFFSET(G451,-1,0)="","ERR",OFFSET(G451,-1,0)),""))</f>
        <v/>
      </c>
      <c r="H451" s="11">
        <f>IF($K451=H$8,1+IF(OFFSET(H451,-1,0)="",0,OFFSET(H451,-1,0)),IF(H$8&lt;$K451,IF(OFFSET(H451,-1,0)="","ERR",OFFSET(H451,-1,0)),""))</f>
        <v/>
      </c>
      <c r="I451" s="11">
        <f>IF($K451=I$8,1+IF(OFFSET(I451,-1,0)="",0,OFFSET(I451,-1,0)),IF(I$8&lt;$K451,IF(OFFSET(I451,-1,0)="","ERR",OFFSET(I451,-1,0)),""))</f>
        <v/>
      </c>
      <c r="J451" s="46">
        <f>_xlfn.TEXTJOIN(".",1,B451:I451)</f>
        <v/>
      </c>
      <c r="K451" s="46" t="inlineStr">
        <is>
          <t>Л6</t>
        </is>
      </c>
      <c r="L451" s="46" t="inlineStr">
        <is>
          <t>3.3.3.21.3.1</t>
        </is>
      </c>
      <c r="M451" s="47" t="inlineStr">
        <is>
          <t>Прокладка кабеля/провода слаботочных систем и автоматики по конструкциям и в трубах здания: Кабель КУНРС Пнг(А)-FRHF 4×6</t>
        </is>
      </c>
      <c r="N451" s="46" t="inlineStr">
        <is>
          <t>пог. м</t>
        </is>
      </c>
      <c r="O451" s="94">
        <f>P451+Q451+S451+V451</f>
        <v/>
      </c>
      <c r="P451" s="46" t="n">
        <v>0</v>
      </c>
      <c r="Q451" s="46" t="n">
        <v>15</v>
      </c>
      <c r="R451" s="46" t="n">
        <v>15</v>
      </c>
      <c r="S451" s="46" t="n">
        <v>15</v>
      </c>
      <c r="T451" s="46" t="n">
        <v>15</v>
      </c>
      <c r="U451" s="46" t="n">
        <v>15</v>
      </c>
      <c r="V451" s="46" t="n">
        <v>15</v>
      </c>
      <c r="W451" s="46" t="n"/>
      <c r="X451" s="46" t="n"/>
      <c r="Y451" s="46" t="n"/>
      <c r="Z451" s="46" t="n"/>
      <c r="AA451" s="48" t="n"/>
      <c r="AB451" s="179" t="n"/>
      <c r="AC451" s="180" t="n">
        <v>180</v>
      </c>
      <c r="AD451" s="189">
        <f>SUM(AB451:AC451)</f>
        <v/>
      </c>
      <c r="AE451" s="189">
        <f>AB451*$O451</f>
        <v/>
      </c>
      <c r="AF451" s="189">
        <f>AC451*$O451</f>
        <v/>
      </c>
      <c r="AG451" s="189">
        <f>SUM(AE451:AF451)</f>
        <v/>
      </c>
      <c r="AH451" s="182" t="n"/>
    </row>
    <row r="452" outlineLevel="1" ht="25.5" customHeight="1">
      <c r="A452" s="18" t="inlineStr">
        <is>
          <t>О</t>
        </is>
      </c>
      <c r="B452" s="11">
        <f>IF($K452=B$8,1+IF(OFFSET(B452,-1,0)="",0,OFFSET(B452,-1,0)),IF(B$8&lt;$K452,IF(OFFSET(B452,-1,0)="","ERR",OFFSET(B452,-1,0)),""))</f>
        <v/>
      </c>
      <c r="C452" s="11">
        <f>IF($K452=C$8,1+IF(OFFSET(C452,-1,0)="",0,OFFSET(C452,-1,0)),IF(C$8&lt;$K452,IF(OFFSET(C452,-1,0)="","ERR",OFFSET(C452,-1,0)),""))</f>
        <v/>
      </c>
      <c r="D452" s="11">
        <f>IF($K452=D$8,1+IF(OFFSET(D452,-1,0)="",0,OFFSET(D452,-1,0)),IF(D$8&lt;$K452,IF(OFFSET(D452,-1,0)="","ERR",OFFSET(D452,-1,0)),""))</f>
        <v/>
      </c>
      <c r="E452" s="11">
        <f>IF($K452=E$8,1+IF(OFFSET(E452,-1,0)="",0,OFFSET(E452,-1,0)),IF(E$8&lt;$K452,IF(OFFSET(E452,-1,0)="","ERR",OFFSET(E452,-1,0)),""))</f>
        <v/>
      </c>
      <c r="F452" s="11">
        <f>IF($K452=F$8,1+IF(OFFSET(F452,-1,0)="",0,OFFSET(F452,-1,0)),IF(F$8&lt;$K452,IF(OFFSET(F452,-1,0)="","ERR",OFFSET(F452,-1,0)),""))</f>
        <v/>
      </c>
      <c r="G452" s="11">
        <f>IF($K452=G$8,1+IF(OFFSET(G452,-1,0)="",0,OFFSET(G452,-1,0)),IF(G$8&lt;$K452,IF(OFFSET(G452,-1,0)="","ERR",OFFSET(G452,-1,0)),""))</f>
        <v/>
      </c>
      <c r="H452" s="11">
        <f>IF($K452=H$8,1+IF(OFFSET(H452,-1,0)="",0,OFFSET(H452,-1,0)),IF(H$8&lt;$K452,IF(OFFSET(H452,-1,0)="","ERR",OFFSET(H452,-1,0)),""))</f>
        <v/>
      </c>
      <c r="I452" s="11">
        <f>IF($K452=I$8,1+IF(OFFSET(I452,-1,0)="",0,OFFSET(I452,-1,0)),IF(I$8&lt;$K452,IF(OFFSET(I452,-1,0)="","ERR",OFFSET(I452,-1,0)),""))</f>
        <v/>
      </c>
      <c r="J452" s="46">
        <f>_xlfn.TEXTJOIN(".",1,B452:I452)</f>
        <v/>
      </c>
      <c r="K452" s="46" t="inlineStr">
        <is>
          <t>Л6</t>
        </is>
      </c>
      <c r="L452" s="46" t="inlineStr">
        <is>
          <t>3.3.3.21.3.1</t>
        </is>
      </c>
      <c r="M452" s="47" t="inlineStr">
        <is>
          <t>Прокладка кабеля/провода слаботочных систем и автоматики по конструкциям и в трубах здания: Кабель КУНРС Пнг(А)-FRHF 4×16, ТУ 42.22.12-134-47273194-2024</t>
        </is>
      </c>
      <c r="N452" s="46" t="inlineStr">
        <is>
          <t>пог. м</t>
        </is>
      </c>
      <c r="O452" s="94">
        <f>P452+Q452+S452+V452</f>
        <v/>
      </c>
      <c r="P452" s="46" t="n">
        <v>0</v>
      </c>
      <c r="Q452" s="46" t="n">
        <v>30</v>
      </c>
      <c r="R452" s="46" t="n">
        <v>30</v>
      </c>
      <c r="S452" s="46" t="n">
        <v>15</v>
      </c>
      <c r="T452" s="46" t="n">
        <v>15</v>
      </c>
      <c r="U452" s="46" t="n">
        <v>30</v>
      </c>
      <c r="V452" s="46" t="n">
        <v>30</v>
      </c>
      <c r="W452" s="46" t="n"/>
      <c r="X452" s="46" t="n"/>
      <c r="Y452" s="46" t="n"/>
      <c r="Z452" s="46" t="n"/>
      <c r="AA452" s="48" t="n"/>
      <c r="AB452" s="179" t="n"/>
      <c r="AC452" s="180" t="n">
        <v>280</v>
      </c>
      <c r="AD452" s="189">
        <f>SUM(AB452:AC452)</f>
        <v/>
      </c>
      <c r="AE452" s="189">
        <f>AB452*$O452</f>
        <v/>
      </c>
      <c r="AF452" s="189">
        <f>AC452*$O452</f>
        <v/>
      </c>
      <c r="AG452" s="189">
        <f>SUM(AE452:AF452)</f>
        <v/>
      </c>
      <c r="AH452" s="182" t="n"/>
    </row>
    <row r="453" outlineLevel="1" ht="25.5" customHeight="1">
      <c r="A453" s="18" t="inlineStr">
        <is>
          <t>О</t>
        </is>
      </c>
      <c r="B453" s="11">
        <f>IF($K453=B$8,1+IF(OFFSET(B453,-1,0)="",0,OFFSET(B453,-1,0)),IF(B$8&lt;$K453,IF(OFFSET(B453,-1,0)="","ERR",OFFSET(B453,-1,0)),""))</f>
        <v/>
      </c>
      <c r="C453" s="11">
        <f>IF($K453=C$8,1+IF(OFFSET(C453,-1,0)="",0,OFFSET(C453,-1,0)),IF(C$8&lt;$K453,IF(OFFSET(C453,-1,0)="","ERR",OFFSET(C453,-1,0)),""))</f>
        <v/>
      </c>
      <c r="D453" s="11">
        <f>IF($K453=D$8,1+IF(OFFSET(D453,-1,0)="",0,OFFSET(D453,-1,0)),IF(D$8&lt;$K453,IF(OFFSET(D453,-1,0)="","ERR",OFFSET(D453,-1,0)),""))</f>
        <v/>
      </c>
      <c r="E453" s="11">
        <f>IF($K453=E$8,1+IF(OFFSET(E453,-1,0)="",0,OFFSET(E453,-1,0)),IF(E$8&lt;$K453,IF(OFFSET(E453,-1,0)="","ERR",OFFSET(E453,-1,0)),""))</f>
        <v/>
      </c>
      <c r="F453" s="11">
        <f>IF($K453=F$8,1+IF(OFFSET(F453,-1,0)="",0,OFFSET(F453,-1,0)),IF(F$8&lt;$K453,IF(OFFSET(F453,-1,0)="","ERR",OFFSET(F453,-1,0)),""))</f>
        <v/>
      </c>
      <c r="G453" s="11">
        <f>IF($K453=G$8,1+IF(OFFSET(G453,-1,0)="",0,OFFSET(G453,-1,0)),IF(G$8&lt;$K453,IF(OFFSET(G453,-1,0)="","ERR",OFFSET(G453,-1,0)),""))</f>
        <v/>
      </c>
      <c r="H453" s="11">
        <f>IF($K453=H$8,1+IF(OFFSET(H453,-1,0)="",0,OFFSET(H453,-1,0)),IF(H$8&lt;$K453,IF(OFFSET(H453,-1,0)="","ERR",OFFSET(H453,-1,0)),""))</f>
        <v/>
      </c>
      <c r="I453" s="11">
        <f>IF($K453=I$8,1+IF(OFFSET(I453,-1,0)="",0,OFFSET(I453,-1,0)),IF(I$8&lt;$K453,IF(OFFSET(I453,-1,0)="","ERR",OFFSET(I453,-1,0)),""))</f>
        <v/>
      </c>
      <c r="J453" s="46">
        <f>_xlfn.TEXTJOIN(".",1,B453:I453)</f>
        <v/>
      </c>
      <c r="K453" s="46" t="inlineStr">
        <is>
          <t>Л6</t>
        </is>
      </c>
      <c r="L453" s="46" t="inlineStr">
        <is>
          <t>3.3.3.21.3.1</t>
        </is>
      </c>
      <c r="M453" s="47" t="inlineStr">
        <is>
          <t>Прокладка кабеля/провода слаботочных систем и автоматики по конструкциям и в трубах здания: Кабель оптический огнестойкий ОБР-У-нг(А)-FRHF-08 G.657.A1-1,1кН</t>
        </is>
      </c>
      <c r="N453" s="46" t="inlineStr">
        <is>
          <t>пог. м</t>
        </is>
      </c>
      <c r="O453" s="94">
        <f>P453+Q453+S453+V453</f>
        <v/>
      </c>
      <c r="P453" s="46" t="n">
        <v>0</v>
      </c>
      <c r="Q453" s="46" t="n">
        <v>110</v>
      </c>
      <c r="R453" s="46" t="n">
        <v>110</v>
      </c>
      <c r="S453" s="46" t="n">
        <v>110</v>
      </c>
      <c r="T453" s="46" t="n">
        <v>110</v>
      </c>
      <c r="U453" s="46" t="n">
        <v>110</v>
      </c>
      <c r="V453" s="46" t="n">
        <v>110</v>
      </c>
      <c r="W453" s="46" t="n"/>
      <c r="X453" s="46" t="n"/>
      <c r="Y453" s="46" t="n"/>
      <c r="Z453" s="46" t="n"/>
      <c r="AA453" s="48" t="n"/>
      <c r="AB453" s="179" t="n"/>
      <c r="AC453" s="180" t="n">
        <v>95</v>
      </c>
      <c r="AD453" s="189">
        <f>SUM(AB453:AC453)</f>
        <v/>
      </c>
      <c r="AE453" s="189">
        <f>AB453*$O453</f>
        <v/>
      </c>
      <c r="AF453" s="189">
        <f>AC453*$O453</f>
        <v/>
      </c>
      <c r="AG453" s="189">
        <f>SUM(AE453:AF453)</f>
        <v/>
      </c>
      <c r="AH453" s="182" t="n"/>
    </row>
    <row r="454" outlineLevel="1" ht="25.5" customHeight="1">
      <c r="A454" s="18" t="inlineStr">
        <is>
          <t>О</t>
        </is>
      </c>
      <c r="B454" s="11">
        <f>IF($K454=B$8,1+IF(OFFSET(B454,-1,0)="",0,OFFSET(B454,-1,0)),IF(B$8&lt;$K454,IF(OFFSET(B454,-1,0)="","ERR",OFFSET(B454,-1,0)),""))</f>
        <v/>
      </c>
      <c r="C454" s="11">
        <f>IF($K454=C$8,1+IF(OFFSET(C454,-1,0)="",0,OFFSET(C454,-1,0)),IF(C$8&lt;$K454,IF(OFFSET(C454,-1,0)="","ERR",OFFSET(C454,-1,0)),""))</f>
        <v/>
      </c>
      <c r="D454" s="11">
        <f>IF($K454=D$8,1+IF(OFFSET(D454,-1,0)="",0,OFFSET(D454,-1,0)),IF(D$8&lt;$K454,IF(OFFSET(D454,-1,0)="","ERR",OFFSET(D454,-1,0)),""))</f>
        <v/>
      </c>
      <c r="E454" s="11">
        <f>IF($K454=E$8,1+IF(OFFSET(E454,-1,0)="",0,OFFSET(E454,-1,0)),IF(E$8&lt;$K454,IF(OFFSET(E454,-1,0)="","ERR",OFFSET(E454,-1,0)),""))</f>
        <v/>
      </c>
      <c r="F454" s="11">
        <f>IF($K454=F$8,1+IF(OFFSET(F454,-1,0)="",0,OFFSET(F454,-1,0)),IF(F$8&lt;$K454,IF(OFFSET(F454,-1,0)="","ERR",OFFSET(F454,-1,0)),""))</f>
        <v/>
      </c>
      <c r="G454" s="11">
        <f>IF($K454=G$8,1+IF(OFFSET(G454,-1,0)="",0,OFFSET(G454,-1,0)),IF(G$8&lt;$K454,IF(OFFSET(G454,-1,0)="","ERR",OFFSET(G454,-1,0)),""))</f>
        <v/>
      </c>
      <c r="H454" s="11">
        <f>IF($K454=H$8,1+IF(OFFSET(H454,-1,0)="",0,OFFSET(H454,-1,0)),IF(H$8&lt;$K454,IF(OFFSET(H454,-1,0)="","ERR",OFFSET(H454,-1,0)),""))</f>
        <v/>
      </c>
      <c r="I454" s="11">
        <f>IF($K454=I$8,1+IF(OFFSET(I454,-1,0)="",0,OFFSET(I454,-1,0)),IF(I$8&lt;$K454,IF(OFFSET(I454,-1,0)="","ERR",OFFSET(I454,-1,0)),""))</f>
        <v/>
      </c>
      <c r="J454" s="46">
        <f>_xlfn.TEXTJOIN(".",1,B454:I454)</f>
        <v/>
      </c>
      <c r="K454" s="46" t="inlineStr">
        <is>
          <t>Л6</t>
        </is>
      </c>
      <c r="L454" s="46" t="inlineStr">
        <is>
          <t>3.3.3.21.3.1</t>
        </is>
      </c>
      <c r="M454" s="47" t="inlineStr">
        <is>
          <t>Прокладка кабеля/провода слаботочных систем и автоматики по конструкциям и в трубах здания: Кабель СПЕЦЛАН UTP-5нг(А)-FRHF 2×2×0,52</t>
        </is>
      </c>
      <c r="N454" s="46" t="inlineStr">
        <is>
          <t>пог. м</t>
        </is>
      </c>
      <c r="O454" s="94">
        <f>P454+Q454+S454+V454</f>
        <v/>
      </c>
      <c r="P454" s="46" t="n">
        <v>0</v>
      </c>
      <c r="Q454" s="46" t="n">
        <v>134</v>
      </c>
      <c r="R454" s="46" t="n">
        <v>134</v>
      </c>
      <c r="S454" s="46" t="n">
        <v>134</v>
      </c>
      <c r="T454" s="46" t="n">
        <v>134</v>
      </c>
      <c r="U454" s="46" t="n">
        <v>132</v>
      </c>
      <c r="V454" s="46" t="n">
        <v>132</v>
      </c>
      <c r="W454" s="46" t="n"/>
      <c r="X454" s="46" t="n"/>
      <c r="Y454" s="46" t="n"/>
      <c r="Z454" s="46" t="n"/>
      <c r="AA454" s="48" t="n"/>
      <c r="AB454" s="179" t="n"/>
      <c r="AC454" s="180" t="n">
        <v>75</v>
      </c>
      <c r="AD454" s="189">
        <f>SUM(AB454:AC454)</f>
        <v/>
      </c>
      <c r="AE454" s="189">
        <f>AB454*$O454</f>
        <v/>
      </c>
      <c r="AF454" s="189">
        <f>AC454*$O454</f>
        <v/>
      </c>
      <c r="AG454" s="189">
        <f>SUM(AE454:AF454)</f>
        <v/>
      </c>
      <c r="AH454" s="182" t="n"/>
    </row>
    <row r="455" outlineLevel="1">
      <c r="A455" s="18" t="n"/>
      <c r="B455" s="11">
        <f>IF($K455=B$8,1+IF(OFFSET(B455,-1,0)="",0,OFFSET(B455,-1,0)),IF(B$8&lt;$K455,IF(OFFSET(B455,-1,0)="","ERR",OFFSET(B455,-1,0)),""))</f>
        <v/>
      </c>
      <c r="C455" s="11">
        <f>IF($K455=C$8,1+IF(OFFSET(C455,-1,0)="",0,OFFSET(C455,-1,0)),IF(C$8&lt;$K455,IF(OFFSET(C455,-1,0)="","ERR",OFFSET(C455,-1,0)),""))</f>
        <v/>
      </c>
      <c r="D455" s="11">
        <f>IF($K455=D$8,1+IF(OFFSET(D455,-1,0)="",0,OFFSET(D455,-1,0)),IF(D$8&lt;$K455,IF(OFFSET(D455,-1,0)="","ERR",OFFSET(D455,-1,0)),""))</f>
        <v/>
      </c>
      <c r="E455" s="11">
        <f>IF($K455=E$8,1+IF(OFFSET(E455,-1,0)="",0,OFFSET(E455,-1,0)),IF(E$8&lt;$K455,IF(OFFSET(E455,-1,0)="","ERR",OFFSET(E455,-1,0)),""))</f>
        <v/>
      </c>
      <c r="F455" s="11">
        <f>IF($K455=F$8,1+IF(OFFSET(F455,-1,0)="",0,OFFSET(F455,-1,0)),IF(F$8&lt;$K455,IF(OFFSET(F455,-1,0)="","ERR",OFFSET(F455,-1,0)),""))</f>
        <v/>
      </c>
      <c r="G455" s="11">
        <f>IF($K455=G$8,1+IF(OFFSET(G455,-1,0)="",0,OFFSET(G455,-1,0)),IF(G$8&lt;$K455,IF(OFFSET(G455,-1,0)="","ERR",OFFSET(G455,-1,0)),""))</f>
        <v/>
      </c>
      <c r="H455" s="11">
        <f>IF($K455=H$8,1+IF(OFFSET(H455,-1,0)="",0,OFFSET(H455,-1,0)),IF(H$8&lt;$K455,IF(OFFSET(H455,-1,0)="","ERR",OFFSET(H455,-1,0)),""))</f>
        <v/>
      </c>
      <c r="I455" s="11">
        <f>IF($K455=I$8,1+IF(OFFSET(I455,-1,0)="",0,OFFSET(I455,-1,0)),IF(I$8&lt;$K455,IF(OFFSET(I455,-1,0)="","ERR",OFFSET(I455,-1,0)),""))</f>
        <v/>
      </c>
      <c r="J455" s="43">
        <f>_xlfn.TEXTJOIN(".",1,B455:I455)</f>
        <v/>
      </c>
      <c r="K455" s="43" t="inlineStr">
        <is>
          <t>Л5</t>
        </is>
      </c>
      <c r="L455" s="43" t="inlineStr">
        <is>
          <t>3.3.3.21.4</t>
        </is>
      </c>
      <c r="M455" s="44" t="inlineStr">
        <is>
          <t>Трубы, гофра, кабеленесущие конструкции</t>
        </is>
      </c>
      <c r="N455" s="43" t="n"/>
      <c r="O455" s="9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  <c r="AA455" s="45" t="n"/>
      <c r="AB455" s="185" t="n"/>
      <c r="AC455" s="186" t="n"/>
      <c r="AD455" s="186" t="n"/>
      <c r="AE455" s="186" t="n"/>
      <c r="AF455" s="186" t="n"/>
      <c r="AG455" s="186" t="n"/>
      <c r="AH455" s="178" t="n"/>
    </row>
    <row r="456" outlineLevel="1" ht="25.5" customHeight="1">
      <c r="A456" s="18" t="inlineStr">
        <is>
          <t>О</t>
        </is>
      </c>
      <c r="B456" s="11">
        <f>IF($K456=B$8,1+IF(OFFSET(B456,-1,0)="",0,OFFSET(B456,-1,0)),IF(B$8&lt;$K456,IF(OFFSET(B456,-1,0)="","ERR",OFFSET(B456,-1,0)),""))</f>
        <v/>
      </c>
      <c r="C456" s="11">
        <f>IF($K456=C$8,1+IF(OFFSET(C456,-1,0)="",0,OFFSET(C456,-1,0)),IF(C$8&lt;$K456,IF(OFFSET(C456,-1,0)="","ERR",OFFSET(C456,-1,0)),""))</f>
        <v/>
      </c>
      <c r="D456" s="11">
        <f>IF($K456=D$8,1+IF(OFFSET(D456,-1,0)="",0,OFFSET(D456,-1,0)),IF(D$8&lt;$K456,IF(OFFSET(D456,-1,0)="","ERR",OFFSET(D456,-1,0)),""))</f>
        <v/>
      </c>
      <c r="E456" s="11">
        <f>IF($K456=E$8,1+IF(OFFSET(E456,-1,0)="",0,OFFSET(E456,-1,0)),IF(E$8&lt;$K456,IF(OFFSET(E456,-1,0)="","ERR",OFFSET(E456,-1,0)),""))</f>
        <v/>
      </c>
      <c r="F456" s="11">
        <f>IF($K456=F$8,1+IF(OFFSET(F456,-1,0)="",0,OFFSET(F456,-1,0)),IF(F$8&lt;$K456,IF(OFFSET(F456,-1,0)="","ERR",OFFSET(F456,-1,0)),""))</f>
        <v/>
      </c>
      <c r="G456" s="11">
        <f>IF($K456=G$8,1+IF(OFFSET(G456,-1,0)="",0,OFFSET(G456,-1,0)),IF(G$8&lt;$K456,IF(OFFSET(G456,-1,0)="","ERR",OFFSET(G456,-1,0)),""))</f>
        <v/>
      </c>
      <c r="H456" s="11">
        <f>IF($K456=H$8,1+IF(OFFSET(H456,-1,0)="",0,OFFSET(H456,-1,0)),IF(H$8&lt;$K456,IF(OFFSET(H456,-1,0)="","ERR",OFFSET(H456,-1,0)),""))</f>
        <v/>
      </c>
      <c r="I456" s="11">
        <f>IF($K456=I$8,1+IF(OFFSET(I456,-1,0)="",0,OFFSET(I456,-1,0)),IF(I$8&lt;$K456,IF(OFFSET(I456,-1,0)="","ERR",OFFSET(I456,-1,0)),""))</f>
        <v/>
      </c>
      <c r="J456" s="46">
        <f>_xlfn.TEXTJOIN(".",1,B456:I456)</f>
        <v/>
      </c>
      <c r="K456" s="46" t="inlineStr">
        <is>
          <t>Л6</t>
        </is>
      </c>
      <c r="L456" s="46" t="inlineStr">
        <is>
          <t>3.3.3.21.4.5</t>
        </is>
      </c>
      <c r="M456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ГОСТ 3262-75</t>
        </is>
      </c>
      <c r="N456" s="46" t="inlineStr">
        <is>
          <t>пог. м</t>
        </is>
      </c>
      <c r="O456" s="94">
        <f>P456+Q456+S456+V456</f>
        <v/>
      </c>
      <c r="P456" s="46" t="n">
        <v>80</v>
      </c>
      <c r="Q456" s="46" t="n">
        <v>60</v>
      </c>
      <c r="R456" s="46" t="n">
        <v>60</v>
      </c>
      <c r="S456" s="46" t="n">
        <v>60</v>
      </c>
      <c r="T456" s="46" t="n">
        <v>60</v>
      </c>
      <c r="U456" s="46" t="n">
        <v>60</v>
      </c>
      <c r="V456" s="46" t="n">
        <v>60</v>
      </c>
      <c r="W456" s="46" t="n"/>
      <c r="X456" s="46" t="n"/>
      <c r="Y456" s="46" t="n"/>
      <c r="Z456" s="46" t="n"/>
      <c r="AA456" s="48" t="n"/>
      <c r="AB456" s="179" t="n"/>
      <c r="AC456" s="180" t="n">
        <v>550</v>
      </c>
      <c r="AD456" s="189">
        <f>SUM(AB456:AC456)</f>
        <v/>
      </c>
      <c r="AE456" s="189">
        <f>AB456*$O456</f>
        <v/>
      </c>
      <c r="AF456" s="189">
        <f>AC456*$O456</f>
        <v/>
      </c>
      <c r="AG456" s="189">
        <f>SUM(AE456:AF456)</f>
        <v/>
      </c>
      <c r="AH456" s="182" t="n"/>
    </row>
    <row r="457" outlineLevel="1">
      <c r="A457" s="18" t="n"/>
      <c r="B457" s="11">
        <f>IF($K457=B$8,1+IF(OFFSET(B457,-1,0)="",0,OFFSET(B457,-1,0)),IF(B$8&lt;$K457,IF(OFFSET(B457,-1,0)="","ERR",OFFSET(B457,-1,0)),""))</f>
        <v/>
      </c>
      <c r="C457" s="11">
        <f>IF($K457=C$8,1+IF(OFFSET(C457,-1,0)="",0,OFFSET(C457,-1,0)),IF(C$8&lt;$K457,IF(OFFSET(C457,-1,0)="","ERR",OFFSET(C457,-1,0)),""))</f>
        <v/>
      </c>
      <c r="D457" s="11">
        <f>IF($K457=D$8,1+IF(OFFSET(D457,-1,0)="",0,OFFSET(D457,-1,0)),IF(D$8&lt;$K457,IF(OFFSET(D457,-1,0)="","ERR",OFFSET(D457,-1,0)),""))</f>
        <v/>
      </c>
      <c r="E457" s="11">
        <f>IF($K457=E$8,1+IF(OFFSET(E457,-1,0)="",0,OFFSET(E457,-1,0)),IF(E$8&lt;$K457,IF(OFFSET(E457,-1,0)="","ERR",OFFSET(E457,-1,0)),""))</f>
        <v/>
      </c>
      <c r="F457" s="11">
        <f>IF($K457=F$8,1+IF(OFFSET(F457,-1,0)="",0,OFFSET(F457,-1,0)),IF(F$8&lt;$K457,IF(OFFSET(F457,-1,0)="","ERR",OFFSET(F457,-1,0)),""))</f>
        <v/>
      </c>
      <c r="G457" s="11">
        <f>IF($K457=G$8,1+IF(OFFSET(G457,-1,0)="",0,OFFSET(G457,-1,0)),IF(G$8&lt;$K457,IF(OFFSET(G457,-1,0)="","ERR",OFFSET(G457,-1,0)),""))</f>
        <v/>
      </c>
      <c r="H457" s="11">
        <f>IF($K457=H$8,1+IF(OFFSET(H457,-1,0)="",0,OFFSET(H457,-1,0)),IF(H$8&lt;$K457,IF(OFFSET(H457,-1,0)="","ERR",OFFSET(H457,-1,0)),""))</f>
        <v/>
      </c>
      <c r="I457" s="11">
        <f>IF($K457=I$8,1+IF(OFFSET(I457,-1,0)="",0,OFFSET(I457,-1,0)),IF(I$8&lt;$K457,IF(OFFSET(I457,-1,0)="","ERR",OFFSET(I457,-1,0)),""))</f>
        <v/>
      </c>
      <c r="J457" s="43">
        <f>_xlfn.TEXTJOIN(".",1,B457:I457)</f>
        <v/>
      </c>
      <c r="K457" s="43" t="inlineStr">
        <is>
          <t>Л5</t>
        </is>
      </c>
      <c r="L457" s="43" t="inlineStr">
        <is>
          <t>3.3.3.21.5</t>
        </is>
      </c>
      <c r="M457" s="44" t="inlineStr">
        <is>
          <t>Электромонтажные изделия и материалы</t>
        </is>
      </c>
      <c r="N457" s="43" t="n"/>
      <c r="O457" s="9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  <c r="AA457" s="45" t="n"/>
      <c r="AB457" s="185" t="n"/>
      <c r="AC457" s="186" t="n"/>
      <c r="AD457" s="186" t="n"/>
      <c r="AE457" s="186" t="n"/>
      <c r="AF457" s="186" t="n"/>
      <c r="AG457" s="186" t="n"/>
      <c r="AH457" s="178" t="n"/>
    </row>
    <row r="458" outlineLevel="1" ht="25.5" customHeight="1">
      <c r="A458" s="18" t="inlineStr">
        <is>
          <t>О</t>
        </is>
      </c>
      <c r="B458" s="11">
        <f>IF($K458=B$8,1+IF(OFFSET(B458,-1,0)="",0,OFFSET(B458,-1,0)),IF(B$8&lt;$K458,IF(OFFSET(B458,-1,0)="","ERR",OFFSET(B458,-1,0)),""))</f>
        <v/>
      </c>
      <c r="C458" s="11">
        <f>IF($K458=C$8,1+IF(OFFSET(C458,-1,0)="",0,OFFSET(C458,-1,0)),IF(C$8&lt;$K458,IF(OFFSET(C458,-1,0)="","ERR",OFFSET(C458,-1,0)),""))</f>
        <v/>
      </c>
      <c r="D458" s="11">
        <f>IF($K458=D$8,1+IF(OFFSET(D458,-1,0)="",0,OFFSET(D458,-1,0)),IF(D$8&lt;$K458,IF(OFFSET(D458,-1,0)="","ERR",OFFSET(D458,-1,0)),""))</f>
        <v/>
      </c>
      <c r="E458" s="11">
        <f>IF($K458=E$8,1+IF(OFFSET(E458,-1,0)="",0,OFFSET(E458,-1,0)),IF(E$8&lt;$K458,IF(OFFSET(E458,-1,0)="","ERR",OFFSET(E458,-1,0)),""))</f>
        <v/>
      </c>
      <c r="F458" s="11">
        <f>IF($K458=F$8,1+IF(OFFSET(F458,-1,0)="",0,OFFSET(F458,-1,0)),IF(F$8&lt;$K458,IF(OFFSET(F458,-1,0)="","ERR",OFFSET(F458,-1,0)),""))</f>
        <v/>
      </c>
      <c r="G458" s="11">
        <f>IF($K458=G$8,1+IF(OFFSET(G458,-1,0)="",0,OFFSET(G458,-1,0)),IF(G$8&lt;$K458,IF(OFFSET(G458,-1,0)="","ERR",OFFSET(G458,-1,0)),""))</f>
        <v/>
      </c>
      <c r="H458" s="11">
        <f>IF($K458=H$8,1+IF(OFFSET(H458,-1,0)="",0,OFFSET(H458,-1,0)),IF(H$8&lt;$K458,IF(OFFSET(H458,-1,0)="","ERR",OFFSET(H458,-1,0)),""))</f>
        <v/>
      </c>
      <c r="I458" s="11">
        <f>IF($K458=I$8,1+IF(OFFSET(I458,-1,0)="",0,OFFSET(I458,-1,0)),IF(I$8&lt;$K458,IF(OFFSET(I458,-1,0)="","ERR",OFFSET(I458,-1,0)),""))</f>
        <v/>
      </c>
      <c r="J458" s="46">
        <f>_xlfn.TEXTJOIN(".",1,B458:I458)</f>
        <v/>
      </c>
      <c r="K458" s="46" t="inlineStr">
        <is>
          <t>Л6</t>
        </is>
      </c>
      <c r="L458" s="46" t="inlineStr">
        <is>
          <t>3.3.3.21.5.1</t>
        </is>
      </c>
      <c r="M458" s="47" t="inlineStr">
        <is>
          <t>Монтаж коробки распределительной, ответвительной, распаячной или протяжной: Коробка ответвительная огнестойкая из термопласта FS 100×100×50 4P, FSB11404, ДКС</t>
        </is>
      </c>
      <c r="N458" s="46" t="inlineStr">
        <is>
          <t>шт</t>
        </is>
      </c>
      <c r="O458" s="94">
        <f>P458+Q458+S458+V458</f>
        <v/>
      </c>
      <c r="P458" s="46" t="n">
        <v>5</v>
      </c>
      <c r="Q458" s="46" t="n">
        <v>2</v>
      </c>
      <c r="R458" s="46" t="n">
        <v>2</v>
      </c>
      <c r="S458" s="46" t="n">
        <v>2</v>
      </c>
      <c r="T458" s="46" t="n">
        <v>2</v>
      </c>
      <c r="U458" s="46" t="n">
        <v>2</v>
      </c>
      <c r="V458" s="46" t="n">
        <v>2</v>
      </c>
      <c r="W458" s="46" t="n"/>
      <c r="X458" s="46" t="n"/>
      <c r="Y458" s="46" t="n"/>
      <c r="Z458" s="46" t="n"/>
      <c r="AA458" s="48" t="n"/>
      <c r="AB458" s="179" t="n"/>
      <c r="AC458" s="180" t="n">
        <v>400</v>
      </c>
      <c r="AD458" s="189">
        <f>SUM(AB458:AC458)</f>
        <v/>
      </c>
      <c r="AE458" s="189">
        <f>AB458*$O458</f>
        <v/>
      </c>
      <c r="AF458" s="189">
        <f>AC458*$O458</f>
        <v/>
      </c>
      <c r="AG458" s="189">
        <f>SUM(AE458:AF458)</f>
        <v/>
      </c>
      <c r="AH458" s="182" t="n"/>
    </row>
    <row r="459" outlineLevel="1" ht="25.5" customHeight="1">
      <c r="A459" s="18" t="inlineStr">
        <is>
          <t>О</t>
        </is>
      </c>
      <c r="B459" s="11">
        <f>IF($K459=B$8,1+IF(OFFSET(B459,-1,0)="",0,OFFSET(B459,-1,0)),IF(B$8&lt;$K459,IF(OFFSET(B459,-1,0)="","ERR",OFFSET(B459,-1,0)),""))</f>
        <v/>
      </c>
      <c r="C459" s="11">
        <f>IF($K459=C$8,1+IF(OFFSET(C459,-1,0)="",0,OFFSET(C459,-1,0)),IF(C$8&lt;$K459,IF(OFFSET(C459,-1,0)="","ERR",OFFSET(C459,-1,0)),""))</f>
        <v/>
      </c>
      <c r="D459" s="11">
        <f>IF($K459=D$8,1+IF(OFFSET(D459,-1,0)="",0,OFFSET(D459,-1,0)),IF(D$8&lt;$K459,IF(OFFSET(D459,-1,0)="","ERR",OFFSET(D459,-1,0)),""))</f>
        <v/>
      </c>
      <c r="E459" s="11">
        <f>IF($K459=E$8,1+IF(OFFSET(E459,-1,0)="",0,OFFSET(E459,-1,0)),IF(E$8&lt;$K459,IF(OFFSET(E459,-1,0)="","ERR",OFFSET(E459,-1,0)),""))</f>
        <v/>
      </c>
      <c r="F459" s="11">
        <f>IF($K459=F$8,1+IF(OFFSET(F459,-1,0)="",0,OFFSET(F459,-1,0)),IF(F$8&lt;$K459,IF(OFFSET(F459,-1,0)="","ERR",OFFSET(F459,-1,0)),""))</f>
        <v/>
      </c>
      <c r="G459" s="11">
        <f>IF($K459=G$8,1+IF(OFFSET(G459,-1,0)="",0,OFFSET(G459,-1,0)),IF(G$8&lt;$K459,IF(OFFSET(G459,-1,0)="","ERR",OFFSET(G459,-1,0)),""))</f>
        <v/>
      </c>
      <c r="H459" s="11">
        <f>IF($K459=H$8,1+IF(OFFSET(H459,-1,0)="",0,OFFSET(H459,-1,0)),IF(H$8&lt;$K459,IF(OFFSET(H459,-1,0)="","ERR",OFFSET(H459,-1,0)),""))</f>
        <v/>
      </c>
      <c r="I459" s="11">
        <f>IF($K459=I$8,1+IF(OFFSET(I459,-1,0)="",0,OFFSET(I459,-1,0)),IF(I$8&lt;$K459,IF(OFFSET(I459,-1,0)="","ERR",OFFSET(I459,-1,0)),""))</f>
        <v/>
      </c>
      <c r="J459" s="46">
        <f>_xlfn.TEXTJOIN(".",1,B459:I459)</f>
        <v/>
      </c>
      <c r="K459" s="46" t="inlineStr">
        <is>
          <t>Л6</t>
        </is>
      </c>
      <c r="L459" s="46" t="inlineStr">
        <is>
          <t>3.3.3.21.5.1</t>
        </is>
      </c>
      <c r="M459" s="47" t="inlineStr">
        <is>
          <t>Монтаж коробки распределительной, ответвительной, распаячной или протяжной: Коробка монтажная огнестойкая металлическая КМОМ 75×75×37 (арт. 070-026), ПожТехКабель</t>
        </is>
      </c>
      <c r="N459" s="46" t="inlineStr">
        <is>
          <t>шт</t>
        </is>
      </c>
      <c r="O459" s="94">
        <f>P459+Q459+S459+V459</f>
        <v/>
      </c>
      <c r="P459" s="46" t="n">
        <v>16</v>
      </c>
      <c r="Q459" s="46" t="n">
        <v>6</v>
      </c>
      <c r="R459" s="46" t="n">
        <v>6</v>
      </c>
      <c r="S459" s="46" t="n">
        <v>6</v>
      </c>
      <c r="T459" s="46" t="n">
        <v>6</v>
      </c>
      <c r="U459" s="46" t="n">
        <v>6</v>
      </c>
      <c r="V459" s="46" t="n">
        <v>6</v>
      </c>
      <c r="W459" s="46" t="n"/>
      <c r="X459" s="46" t="n"/>
      <c r="Y459" s="46" t="n"/>
      <c r="Z459" s="46" t="n"/>
      <c r="AA459" s="48" t="n"/>
      <c r="AB459" s="179" t="n"/>
      <c r="AC459" s="180" t="n">
        <v>450</v>
      </c>
      <c r="AD459" s="189">
        <f>SUM(AB459:AC459)</f>
        <v/>
      </c>
      <c r="AE459" s="189">
        <f>AB459*$O459</f>
        <v/>
      </c>
      <c r="AF459" s="189">
        <f>AC459*$O459</f>
        <v/>
      </c>
      <c r="AG459" s="189">
        <f>SUM(AE459:AF459)</f>
        <v/>
      </c>
      <c r="AH459" s="182" t="n"/>
    </row>
    <row r="460" ht="25.5" customHeight="1">
      <c r="A460" s="18" t="n"/>
      <c r="B460" s="11">
        <f>IF($K460=B$8,1+IF(OFFSET(B460,-1,0)="",0,OFFSET(B460,-1,0)),IF(B$8&lt;$K460,IF(OFFSET(B460,-1,0)="","ERR",OFFSET(B460,-1,0)),""))</f>
        <v/>
      </c>
      <c r="C460" s="11">
        <f>IF($K460=C$8,1+IF(OFFSET(C460,-1,0)="",0,OFFSET(C460,-1,0)),IF(C$8&lt;$K460,IF(OFFSET(C460,-1,0)="","ERR",OFFSET(C460,-1,0)),""))</f>
        <v/>
      </c>
      <c r="D460" s="11">
        <f>IF($K460=D$8,1+IF(OFFSET(D460,-1,0)="",0,OFFSET(D460,-1,0)),IF(D$8&lt;$K460,IF(OFFSET(D460,-1,0)="","ERR",OFFSET(D460,-1,0)),""))</f>
        <v/>
      </c>
      <c r="E460" s="11">
        <f>IF($K460=E$8,1+IF(OFFSET(E460,-1,0)="",0,OFFSET(E460,-1,0)),IF(E$8&lt;$K460,IF(OFFSET(E460,-1,0)="","ERR",OFFSET(E460,-1,0)),""))</f>
        <v/>
      </c>
      <c r="F460" s="11">
        <f>IF($K460=F$8,1+IF(OFFSET(F460,-1,0)="",0,OFFSET(F460,-1,0)),IF(F$8&lt;$K460,IF(OFFSET(F460,-1,0)="","ERR",OFFSET(F460,-1,0)),""))</f>
        <v/>
      </c>
      <c r="G460" s="11">
        <f>IF($K460=G$8,1+IF(OFFSET(G460,-1,0)="",0,OFFSET(G460,-1,0)),IF(G$8&lt;$K460,IF(OFFSET(G460,-1,0)="","ERR",OFFSET(G460,-1,0)),""))</f>
        <v/>
      </c>
      <c r="H460" s="11">
        <f>IF($K460=H$8,1+IF(OFFSET(H460,-1,0)="",0,OFFSET(H460,-1,0)),IF(H$8&lt;$K460,IF(OFFSET(H460,-1,0)="","ERR",OFFSET(H460,-1,0)),""))</f>
        <v/>
      </c>
      <c r="I460" s="11">
        <f>IF($K460=I$8,1+IF(OFFSET(I460,-1,0)="",0,OFFSET(I460,-1,0)),IF(I$8&lt;$K460,IF(OFFSET(I460,-1,0)="","ERR",OFFSET(I460,-1,0)),""))</f>
        <v/>
      </c>
      <c r="J460" s="40">
        <f>_xlfn.TEXTJOIN(".",1,B460:I460)</f>
        <v/>
      </c>
      <c r="K460" s="40" t="inlineStr">
        <is>
          <t>Л4</t>
        </is>
      </c>
      <c r="L460" s="40" t="inlineStr">
        <is>
          <t>3.3.3.22</t>
        </is>
      </c>
      <c r="M460" s="41" t="inlineStr">
        <is>
          <t>СОУЭ: Система оповещения и управления эвакуацией при пожаре</t>
        </is>
      </c>
      <c r="N460" s="40" t="n"/>
      <c r="O460" s="92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2" t="inlineStr">
        <is>
          <t>ПТ-082022-23-Р-АСПЗ0+ПТ-082022-23-Р-СОУЭ0</t>
        </is>
      </c>
      <c r="AB460" s="183" t="n"/>
      <c r="AC460" s="184" t="n"/>
      <c r="AD460" s="184" t="n"/>
      <c r="AE460" s="184" t="n"/>
      <c r="AF460" s="184" t="n"/>
      <c r="AG460" s="184" t="n"/>
      <c r="AH460" s="175" t="n"/>
    </row>
    <row r="461" outlineLevel="1">
      <c r="A461" s="18" t="n"/>
      <c r="B461" s="11">
        <f>IF($K461=B$8,1+IF(OFFSET(B461,-1,0)="",0,OFFSET(B461,-1,0)),IF(B$8&lt;$K461,IF(OFFSET(B461,-1,0)="","ERR",OFFSET(B461,-1,0)),""))</f>
        <v/>
      </c>
      <c r="C461" s="11">
        <f>IF($K461=C$8,1+IF(OFFSET(C461,-1,0)="",0,OFFSET(C461,-1,0)),IF(C$8&lt;$K461,IF(OFFSET(C461,-1,0)="","ERR",OFFSET(C461,-1,0)),""))</f>
        <v/>
      </c>
      <c r="D461" s="11">
        <f>IF($K461=D$8,1+IF(OFFSET(D461,-1,0)="",0,OFFSET(D461,-1,0)),IF(D$8&lt;$K461,IF(OFFSET(D461,-1,0)="","ERR",OFFSET(D461,-1,0)),""))</f>
        <v/>
      </c>
      <c r="E461" s="11">
        <f>IF($K461=E$8,1+IF(OFFSET(E461,-1,0)="",0,OFFSET(E461,-1,0)),IF(E$8&lt;$K461,IF(OFFSET(E461,-1,0)="","ERR",OFFSET(E461,-1,0)),""))</f>
        <v/>
      </c>
      <c r="F461" s="11">
        <f>IF($K461=F$8,1+IF(OFFSET(F461,-1,0)="",0,OFFSET(F461,-1,0)),IF(F$8&lt;$K461,IF(OFFSET(F461,-1,0)="","ERR",OFFSET(F461,-1,0)),""))</f>
        <v/>
      </c>
      <c r="G461" s="11">
        <f>IF($K461=G$8,1+IF(OFFSET(G461,-1,0)="",0,OFFSET(G461,-1,0)),IF(G$8&lt;$K461,IF(OFFSET(G461,-1,0)="","ERR",OFFSET(G461,-1,0)),""))</f>
        <v/>
      </c>
      <c r="H461" s="11">
        <f>IF($K461=H$8,1+IF(OFFSET(H461,-1,0)="",0,OFFSET(H461,-1,0)),IF(H$8&lt;$K461,IF(OFFSET(H461,-1,0)="","ERR",OFFSET(H461,-1,0)),""))</f>
        <v/>
      </c>
      <c r="I461" s="11">
        <f>IF($K461=I$8,1+IF(OFFSET(I461,-1,0)="",0,OFFSET(I461,-1,0)),IF(I$8&lt;$K461,IF(OFFSET(I461,-1,0)="","ERR",OFFSET(I461,-1,0)),""))</f>
        <v/>
      </c>
      <c r="J461" s="43">
        <f>_xlfn.TEXTJOIN(".",1,B461:I461)</f>
        <v/>
      </c>
      <c r="K461" s="43" t="inlineStr">
        <is>
          <t>Л5</t>
        </is>
      </c>
      <c r="L461" s="43" t="inlineStr">
        <is>
          <t>3.3.3.22.1</t>
        </is>
      </c>
      <c r="M461" s="44" t="inlineStr">
        <is>
          <t>Шкафы автоматизации и управления</t>
        </is>
      </c>
      <c r="N461" s="43" t="n"/>
      <c r="O461" s="9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  <c r="AA461" s="45" t="n"/>
      <c r="AB461" s="185" t="n"/>
      <c r="AC461" s="186" t="n"/>
      <c r="AD461" s="186" t="n"/>
      <c r="AE461" s="186" t="n"/>
      <c r="AF461" s="186" t="n"/>
      <c r="AG461" s="186" t="n"/>
      <c r="AH461" s="178" t="n"/>
    </row>
    <row r="462" outlineLevel="1" ht="38.25" customHeight="1">
      <c r="A462" s="18" t="inlineStr">
        <is>
          <t>О</t>
        </is>
      </c>
      <c r="B462" s="11">
        <f>IF($K462=B$8,1+IF(OFFSET(B462,-1,0)="",0,OFFSET(B462,-1,0)),IF(B$8&lt;$K462,IF(OFFSET(B462,-1,0)="","ERR",OFFSET(B462,-1,0)),""))</f>
        <v/>
      </c>
      <c r="C462" s="11">
        <f>IF($K462=C$8,1+IF(OFFSET(C462,-1,0)="",0,OFFSET(C462,-1,0)),IF(C$8&lt;$K462,IF(OFFSET(C462,-1,0)="","ERR",OFFSET(C462,-1,0)),""))</f>
        <v/>
      </c>
      <c r="D462" s="11">
        <f>IF($K462=D$8,1+IF(OFFSET(D462,-1,0)="",0,OFFSET(D462,-1,0)),IF(D$8&lt;$K462,IF(OFFSET(D462,-1,0)="","ERR",OFFSET(D462,-1,0)),""))</f>
        <v/>
      </c>
      <c r="E462" s="11">
        <f>IF($K462=E$8,1+IF(OFFSET(E462,-1,0)="",0,OFFSET(E462,-1,0)),IF(E$8&lt;$K462,IF(OFFSET(E462,-1,0)="","ERR",OFFSET(E462,-1,0)),""))</f>
        <v/>
      </c>
      <c r="F462" s="11">
        <f>IF($K462=F$8,1+IF(OFFSET(F462,-1,0)="",0,OFFSET(F462,-1,0)),IF(F$8&lt;$K462,IF(OFFSET(F462,-1,0)="","ERR",OFFSET(F462,-1,0)),""))</f>
        <v/>
      </c>
      <c r="G462" s="11">
        <f>IF($K462=G$8,1+IF(OFFSET(G462,-1,0)="",0,OFFSET(G462,-1,0)),IF(G$8&lt;$K462,IF(OFFSET(G462,-1,0)="","ERR",OFFSET(G462,-1,0)),""))</f>
        <v/>
      </c>
      <c r="H462" s="11">
        <f>IF($K462=H$8,1+IF(OFFSET(H462,-1,0)="",0,OFFSET(H462,-1,0)),IF(H$8&lt;$K462,IF(OFFSET(H462,-1,0)="","ERR",OFFSET(H462,-1,0)),""))</f>
        <v/>
      </c>
      <c r="I462" s="11">
        <f>IF($K462=I$8,1+IF(OFFSET(I462,-1,0)="",0,OFFSET(I462,-1,0)),IF(I$8&lt;$K462,IF(OFFSET(I462,-1,0)="","ERR",OFFSET(I462,-1,0)),""))</f>
        <v/>
      </c>
      <c r="J462" s="46">
        <f>_xlfn.TEXTJOIN(".",1,B462:I462)</f>
        <v/>
      </c>
      <c r="K462" s="46" t="inlineStr">
        <is>
          <t>Л6</t>
        </is>
      </c>
      <c r="L462" s="46" t="inlineStr">
        <is>
          <t>3.3.3.22.1.1</t>
        </is>
      </c>
      <c r="M462" s="47" t="inlineStr">
        <is>
          <t>Монтаж телекоммуникационного шкафа/стойка (ТШ) напольного комплектного</t>
        </is>
      </c>
      <c r="N462" s="46" t="inlineStr">
        <is>
          <t>компл</t>
        </is>
      </c>
      <c r="O462" s="94">
        <f>P462+Q462+S462+V462</f>
        <v/>
      </c>
      <c r="P462" s="46" t="n"/>
      <c r="Q462" s="46" t="n">
        <v>1</v>
      </c>
      <c r="R462" s="46" t="n">
        <v>1</v>
      </c>
      <c r="S462" s="46" t="n">
        <v>1</v>
      </c>
      <c r="T462" s="46" t="n">
        <v>1</v>
      </c>
      <c r="U462" s="46" t="n">
        <v>1</v>
      </c>
      <c r="V462" s="46" t="n">
        <v>1</v>
      </c>
      <c r="W462" s="46" t="n"/>
      <c r="X462" s="46" t="n"/>
      <c r="Y462" s="46" t="n"/>
      <c r="Z462" s="46" t="n"/>
      <c r="AA462" s="48" t="inlineStr">
        <is>
          <t xml:space="preserve">ТШ.ЛВС.СПЗ.4.2, ТШ.ЛВС.СПЗ.5.1, ТШ.ЛВС.СПЗ.6.1, </t>
        </is>
      </c>
      <c r="AB462" s="187" t="n"/>
      <c r="AC462" s="180" t="n"/>
      <c r="AD462" s="189">
        <f>SUM(AB462:AC462)</f>
        <v/>
      </c>
      <c r="AE462" s="189">
        <f>AB462*$O462</f>
        <v/>
      </c>
      <c r="AF462" s="189">
        <f>AC462*$O462</f>
        <v/>
      </c>
      <c r="AG462" s="189">
        <f>SUM(AE462:AF462)</f>
        <v/>
      </c>
      <c r="AH462" s="182" t="n"/>
    </row>
    <row r="463" outlineLevel="1" ht="17.45" customHeight="1">
      <c r="A463" s="18" t="inlineStr">
        <is>
          <t>О</t>
        </is>
      </c>
      <c r="B463" s="11">
        <f>IF($K463=B$8,1+IF(OFFSET(B463,-1,0)="",0,OFFSET(B463,-1,0)),IF(B$8&lt;$K463,IF(OFFSET(B463,-1,0)="","ERR",OFFSET(B463,-1,0)),""))</f>
        <v/>
      </c>
      <c r="C463" s="11">
        <f>IF($K463=C$8,1+IF(OFFSET(C463,-1,0)="",0,OFFSET(C463,-1,0)),IF(C$8&lt;$K463,IF(OFFSET(C463,-1,0)="","ERR",OFFSET(C463,-1,0)),""))</f>
        <v/>
      </c>
      <c r="D463" s="11">
        <f>IF($K463=D$8,1+IF(OFFSET(D463,-1,0)="",0,OFFSET(D463,-1,0)),IF(D$8&lt;$K463,IF(OFFSET(D463,-1,0)="","ERR",OFFSET(D463,-1,0)),""))</f>
        <v/>
      </c>
      <c r="E463" s="11">
        <f>IF($K463=E$8,1+IF(OFFSET(E463,-1,0)="",0,OFFSET(E463,-1,0)),IF(E$8&lt;$K463,IF(OFFSET(E463,-1,0)="","ERR",OFFSET(E463,-1,0)),""))</f>
        <v/>
      </c>
      <c r="F463" s="11">
        <f>IF($K463=F$8,1+IF(OFFSET(F463,-1,0)="",0,OFFSET(F463,-1,0)),IF(F$8&lt;$K463,IF(OFFSET(F463,-1,0)="","ERR",OFFSET(F463,-1,0)),""))</f>
        <v/>
      </c>
      <c r="G463" s="11">
        <f>IF($K463=G$8,1+IF(OFFSET(G463,-1,0)="",0,OFFSET(G463,-1,0)),IF(G$8&lt;$K463,IF(OFFSET(G463,-1,0)="","ERR",OFFSET(G463,-1,0)),""))</f>
        <v/>
      </c>
      <c r="H463" s="11">
        <f>IF($K463=H$8,1+IF(OFFSET(H463,-1,0)="",0,OFFSET(H463,-1,0)),IF(H$8&lt;$K463,IF(OFFSET(H463,-1,0)="","ERR",OFFSET(H463,-1,0)),""))</f>
        <v/>
      </c>
      <c r="I463" s="11">
        <f>IF($K463=I$8,1+IF(OFFSET(I463,-1,0)="",0,OFFSET(I463,-1,0)),IF(I$8&lt;$K463,IF(OFFSET(I463,-1,0)="","ERR",OFFSET(I463,-1,0)),""))</f>
        <v/>
      </c>
      <c r="J463" s="49">
        <f>_xlfn.TEXTJOIN(".",1,B463:I463)</f>
        <v/>
      </c>
      <c r="K463" s="49" t="inlineStr">
        <is>
          <t>Л7</t>
        </is>
      </c>
      <c r="L463" s="49" t="n"/>
      <c r="M463" s="63" t="inlineStr">
        <is>
          <t>Cтойка ЛВС.СПЗ , SONAR RACK SPM 16U, ООО «Рубеж»</t>
        </is>
      </c>
      <c r="N463" s="49" t="inlineStr">
        <is>
          <t>шт.</t>
        </is>
      </c>
      <c r="O463" s="50">
        <f>P463+Q463+S463+V463</f>
        <v/>
      </c>
      <c r="P463" s="49" t="n"/>
      <c r="Q463" s="49" t="n">
        <v>1</v>
      </c>
      <c r="R463" s="49" t="n">
        <v>1</v>
      </c>
      <c r="S463" s="49" t="n">
        <v>1</v>
      </c>
      <c r="T463" s="49" t="n">
        <v>1</v>
      </c>
      <c r="U463" s="49" t="n">
        <v>1</v>
      </c>
      <c r="V463" s="49" t="n">
        <v>1</v>
      </c>
      <c r="W463" s="50" t="n">
        <v>1</v>
      </c>
      <c r="X463" s="26" t="n">
        <v>1659174829</v>
      </c>
      <c r="Y463" s="26" t="n">
        <v>165901001</v>
      </c>
      <c r="Z463" s="26" t="inlineStr">
        <is>
          <t xml:space="preserve"> "ТК "РУТЕК"</t>
        </is>
      </c>
      <c r="AA463" s="51" t="inlineStr">
        <is>
          <t>ГТ</t>
        </is>
      </c>
      <c r="AB463" s="188" t="n"/>
      <c r="AC463" s="189" t="n"/>
      <c r="AD463" s="190">
        <f>SUM(AB463:AC463)</f>
        <v/>
      </c>
      <c r="AE463" s="190">
        <f>AB463*$O463*$W463</f>
        <v/>
      </c>
      <c r="AF463" s="190">
        <f>AC463*$O463*$W463</f>
        <v/>
      </c>
      <c r="AG463" s="190">
        <f>SUM(AE463:AF463)</f>
        <v/>
      </c>
      <c r="AH463" s="182" t="n"/>
    </row>
    <row r="464" outlineLevel="1">
      <c r="A464" s="18" t="inlineStr">
        <is>
          <t>О</t>
        </is>
      </c>
      <c r="B464" s="11">
        <f>IF($K464=B$8,1+IF(OFFSET(B464,-1,0)="",0,OFFSET(B464,-1,0)),IF(B$8&lt;$K464,IF(OFFSET(B464,-1,0)="","ERR",OFFSET(B464,-1,0)),""))</f>
        <v/>
      </c>
      <c r="C464" s="11">
        <f>IF($K464=C$8,1+IF(OFFSET(C464,-1,0)="",0,OFFSET(C464,-1,0)),IF(C$8&lt;$K464,IF(OFFSET(C464,-1,0)="","ERR",OFFSET(C464,-1,0)),""))</f>
        <v/>
      </c>
      <c r="D464" s="11">
        <f>IF($K464=D$8,1+IF(OFFSET(D464,-1,0)="",0,OFFSET(D464,-1,0)),IF(D$8&lt;$K464,IF(OFFSET(D464,-1,0)="","ERR",OFFSET(D464,-1,0)),""))</f>
        <v/>
      </c>
      <c r="E464" s="11">
        <f>IF($K464=E$8,1+IF(OFFSET(E464,-1,0)="",0,OFFSET(E464,-1,0)),IF(E$8&lt;$K464,IF(OFFSET(E464,-1,0)="","ERR",OFFSET(E464,-1,0)),""))</f>
        <v/>
      </c>
      <c r="F464" s="11">
        <f>IF($K464=F$8,1+IF(OFFSET(F464,-1,0)="",0,OFFSET(F464,-1,0)),IF(F$8&lt;$K464,IF(OFFSET(F464,-1,0)="","ERR",OFFSET(F464,-1,0)),""))</f>
        <v/>
      </c>
      <c r="G464" s="11">
        <f>IF($K464=G$8,1+IF(OFFSET(G464,-1,0)="",0,OFFSET(G464,-1,0)),IF(G$8&lt;$K464,IF(OFFSET(G464,-1,0)="","ERR",OFFSET(G464,-1,0)),""))</f>
        <v/>
      </c>
      <c r="H464" s="11">
        <f>IF($K464=H$8,1+IF(OFFSET(H464,-1,0)="",0,OFFSET(H464,-1,0)),IF(H$8&lt;$K464,IF(OFFSET(H464,-1,0)="","ERR",OFFSET(H464,-1,0)),""))</f>
        <v/>
      </c>
      <c r="I464" s="11">
        <f>IF($K464=I$8,1+IF(OFFSET(I464,-1,0)="",0,OFFSET(I464,-1,0)),IF(I$8&lt;$K464,IF(OFFSET(I464,-1,0)="","ERR",OFFSET(I464,-1,0)),""))</f>
        <v/>
      </c>
      <c r="J464" s="52">
        <f>_xlfn.TEXTJOIN(".",1,B464:I464)</f>
        <v/>
      </c>
      <c r="K464" s="52" t="inlineStr">
        <is>
          <t>Л7</t>
        </is>
      </c>
      <c r="L464" s="52" t="n"/>
      <c r="M464" s="53" t="inlineStr">
        <is>
          <t>Оптический кросс ExaLan+ , ЕХ ШКОС -16У/16.LC.S.9, ExaLan</t>
        </is>
      </c>
      <c r="N464" s="52" t="inlineStr">
        <is>
          <t>шт.</t>
        </is>
      </c>
      <c r="O464" s="73">
        <f>P464+Q464+S464+V464</f>
        <v/>
      </c>
      <c r="P464" s="52" t="n"/>
      <c r="Q464" s="52" t="n">
        <v>1</v>
      </c>
      <c r="R464" s="52" t="n">
        <v>1</v>
      </c>
      <c r="S464" s="52" t="n">
        <v>1</v>
      </c>
      <c r="T464" s="52" t="n">
        <v>1</v>
      </c>
      <c r="U464" s="52" t="n">
        <v>1</v>
      </c>
      <c r="V464" s="52" t="n">
        <v>1</v>
      </c>
      <c r="W464" s="52" t="n"/>
      <c r="X464" s="52" t="n"/>
      <c r="Y464" s="52" t="n"/>
      <c r="Z464" s="52" t="n"/>
      <c r="AA464" s="54" t="n"/>
      <c r="AB464" s="179" t="n"/>
      <c r="AC464" s="189" t="n"/>
      <c r="AD464" s="189">
        <f>SUM(AB464:AC464)</f>
        <v/>
      </c>
      <c r="AE464" s="189">
        <f>AB464*$O464</f>
        <v/>
      </c>
      <c r="AF464" s="189">
        <f>AC464*$O464</f>
        <v/>
      </c>
      <c r="AG464" s="189">
        <f>SUM(AE464:AF464)</f>
        <v/>
      </c>
      <c r="AH464" s="182" t="n"/>
    </row>
    <row r="465" outlineLevel="1">
      <c r="A465" s="18" t="inlineStr">
        <is>
          <t>О</t>
        </is>
      </c>
      <c r="B465" s="11">
        <f>IF($K465=B$8,1+IF(OFFSET(B465,-1,0)="",0,OFFSET(B465,-1,0)),IF(B$8&lt;$K465,IF(OFFSET(B465,-1,0)="","ERR",OFFSET(B465,-1,0)),""))</f>
        <v/>
      </c>
      <c r="C465" s="11">
        <f>IF($K465=C$8,1+IF(OFFSET(C465,-1,0)="",0,OFFSET(C465,-1,0)),IF(C$8&lt;$K465,IF(OFFSET(C465,-1,0)="","ERR",OFFSET(C465,-1,0)),""))</f>
        <v/>
      </c>
      <c r="D465" s="11">
        <f>IF($K465=D$8,1+IF(OFFSET(D465,-1,0)="",0,OFFSET(D465,-1,0)),IF(D$8&lt;$K465,IF(OFFSET(D465,-1,0)="","ERR",OFFSET(D465,-1,0)),""))</f>
        <v/>
      </c>
      <c r="E465" s="11">
        <f>IF($K465=E$8,1+IF(OFFSET(E465,-1,0)="",0,OFFSET(E465,-1,0)),IF(E$8&lt;$K465,IF(OFFSET(E465,-1,0)="","ERR",OFFSET(E465,-1,0)),""))</f>
        <v/>
      </c>
      <c r="F465" s="11">
        <f>IF($K465=F$8,1+IF(OFFSET(F465,-1,0)="",0,OFFSET(F465,-1,0)),IF(F$8&lt;$K465,IF(OFFSET(F465,-1,0)="","ERR",OFFSET(F465,-1,0)),""))</f>
        <v/>
      </c>
      <c r="G465" s="11">
        <f>IF($K465=G$8,1+IF(OFFSET(G465,-1,0)="",0,OFFSET(G465,-1,0)),IF(G$8&lt;$K465,IF(OFFSET(G465,-1,0)="","ERR",OFFSET(G465,-1,0)),""))</f>
        <v/>
      </c>
      <c r="H465" s="11">
        <f>IF($K465=H$8,1+IF(OFFSET(H465,-1,0)="",0,OFFSET(H465,-1,0)),IF(H$8&lt;$K465,IF(OFFSET(H465,-1,0)="","ERR",OFFSET(H465,-1,0)),""))</f>
        <v/>
      </c>
      <c r="I465" s="11">
        <f>IF($K465=I$8,1+IF(OFFSET(I465,-1,0)="",0,OFFSET(I465,-1,0)),IF(I$8&lt;$K465,IF(OFFSET(I465,-1,0)="","ERR",OFFSET(I465,-1,0)),""))</f>
        <v/>
      </c>
      <c r="J465" s="49">
        <f>_xlfn.TEXTJOIN(".",1,B465:I465)</f>
        <v/>
      </c>
      <c r="K465" s="49" t="inlineStr">
        <is>
          <t>Л7</t>
        </is>
      </c>
      <c r="L465" s="49" t="n"/>
      <c r="M465" s="63" t="inlineStr">
        <is>
          <t>КОММУТАТОР ОПТИЧЕСКИЙ , SONAR SNSO-7208, ООО «Рубеж»</t>
        </is>
      </c>
      <c r="N465" s="49" t="inlineStr">
        <is>
          <t>шт.</t>
        </is>
      </c>
      <c r="O465" s="50">
        <f>P465+Q465+S465+V465</f>
        <v/>
      </c>
      <c r="P465" s="49" t="n"/>
      <c r="Q465" s="49" t="n">
        <v>1</v>
      </c>
      <c r="R465" s="49" t="n">
        <v>1</v>
      </c>
      <c r="S465" s="49" t="n">
        <v>1</v>
      </c>
      <c r="T465" s="49" t="n">
        <v>1</v>
      </c>
      <c r="U465" s="49" t="n">
        <v>1</v>
      </c>
      <c r="V465" s="49" t="n">
        <v>1</v>
      </c>
      <c r="W465" s="50" t="n">
        <v>1</v>
      </c>
      <c r="X465" s="26" t="n">
        <v>1659174829</v>
      </c>
      <c r="Y465" s="26" t="n">
        <v>165901001</v>
      </c>
      <c r="Z465" s="26" t="inlineStr">
        <is>
          <t xml:space="preserve"> "ТК "РУТЕК"</t>
        </is>
      </c>
      <c r="AA465" s="51" t="inlineStr">
        <is>
          <t>ГТ</t>
        </is>
      </c>
      <c r="AB465" s="188" t="n"/>
      <c r="AC465" s="189" t="n"/>
      <c r="AD465" s="190">
        <f>SUM(AB465:AC465)</f>
        <v/>
      </c>
      <c r="AE465" s="190">
        <f>AB465*$O465*$W465</f>
        <v/>
      </c>
      <c r="AF465" s="190">
        <f>AC465*$O465*$W465</f>
        <v/>
      </c>
      <c r="AG465" s="190">
        <f>SUM(AE465:AF465)</f>
        <v/>
      </c>
      <c r="AH465" s="182" t="n"/>
    </row>
    <row r="466" outlineLevel="1">
      <c r="A466" s="18" t="inlineStr">
        <is>
          <t>О</t>
        </is>
      </c>
      <c r="B466" s="11">
        <f>IF($K466=B$8,1+IF(OFFSET(B466,-1,0)="",0,OFFSET(B466,-1,0)),IF(B$8&lt;$K466,IF(OFFSET(B466,-1,0)="","ERR",OFFSET(B466,-1,0)),""))</f>
        <v/>
      </c>
      <c r="C466" s="11">
        <f>IF($K466=C$8,1+IF(OFFSET(C466,-1,0)="",0,OFFSET(C466,-1,0)),IF(C$8&lt;$K466,IF(OFFSET(C466,-1,0)="","ERR",OFFSET(C466,-1,0)),""))</f>
        <v/>
      </c>
      <c r="D466" s="11">
        <f>IF($K466=D$8,1+IF(OFFSET(D466,-1,0)="",0,OFFSET(D466,-1,0)),IF(D$8&lt;$K466,IF(OFFSET(D466,-1,0)="","ERR",OFFSET(D466,-1,0)),""))</f>
        <v/>
      </c>
      <c r="E466" s="11">
        <f>IF($K466=E$8,1+IF(OFFSET(E466,-1,0)="",0,OFFSET(E466,-1,0)),IF(E$8&lt;$K466,IF(OFFSET(E466,-1,0)="","ERR",OFFSET(E466,-1,0)),""))</f>
        <v/>
      </c>
      <c r="F466" s="11">
        <f>IF($K466=F$8,1+IF(OFFSET(F466,-1,0)="",0,OFFSET(F466,-1,0)),IF(F$8&lt;$K466,IF(OFFSET(F466,-1,0)="","ERR",OFFSET(F466,-1,0)),""))</f>
        <v/>
      </c>
      <c r="G466" s="11">
        <f>IF($K466=G$8,1+IF(OFFSET(G466,-1,0)="",0,OFFSET(G466,-1,0)),IF(G$8&lt;$K466,IF(OFFSET(G466,-1,0)="","ERR",OFFSET(G466,-1,0)),""))</f>
        <v/>
      </c>
      <c r="H466" s="11">
        <f>IF($K466=H$8,1+IF(OFFSET(H466,-1,0)="",0,OFFSET(H466,-1,0)),IF(H$8&lt;$K466,IF(OFFSET(H466,-1,0)="","ERR",OFFSET(H466,-1,0)),""))</f>
        <v/>
      </c>
      <c r="I466" s="11">
        <f>IF($K466=I$8,1+IF(OFFSET(I466,-1,0)="",0,OFFSET(I466,-1,0)),IF(I$8&lt;$K466,IF(OFFSET(I466,-1,0)="","ERR",OFFSET(I466,-1,0)),""))</f>
        <v/>
      </c>
      <c r="J466" s="52">
        <f>_xlfn.TEXTJOIN(".",1,B466:I466)</f>
        <v/>
      </c>
      <c r="K466" s="52" t="inlineStr">
        <is>
          <t>Л7</t>
        </is>
      </c>
      <c r="L466" s="52" t="n"/>
      <c r="M466" s="65" t="inlineStr">
        <is>
          <t>Оптический трансивер (SFP-модуль) Sonar, SFP213-1.25GCT-1000SX, ООО «Рубеж»</t>
        </is>
      </c>
      <c r="N466" s="52" t="inlineStr">
        <is>
          <t>шт.</t>
        </is>
      </c>
      <c r="O466" s="73">
        <f>P466+Q466+S466+V466</f>
        <v/>
      </c>
      <c r="P466" s="52" t="n"/>
      <c r="Q466" s="52" t="n">
        <v>2</v>
      </c>
      <c r="R466" s="52" t="n">
        <v>2</v>
      </c>
      <c r="S466" s="52" t="n">
        <v>1</v>
      </c>
      <c r="T466" s="52" t="n">
        <v>1</v>
      </c>
      <c r="U466" s="52" t="n">
        <v>1</v>
      </c>
      <c r="V466" s="52" t="n">
        <v>1</v>
      </c>
      <c r="W466" s="52" t="n"/>
      <c r="X466" s="26" t="n"/>
      <c r="Y466" s="26" t="n"/>
      <c r="Z466" s="26" t="n"/>
      <c r="AA466" s="54" t="n"/>
      <c r="AB466" s="179" t="n"/>
      <c r="AC466" s="189" t="n"/>
      <c r="AD466" s="189">
        <f>SUM(AB466:AC466)</f>
        <v/>
      </c>
      <c r="AE466" s="189">
        <f>AB466*$O466</f>
        <v/>
      </c>
      <c r="AF466" s="189">
        <f>AC466*$O466</f>
        <v/>
      </c>
      <c r="AG466" s="189">
        <f>SUM(AE466:AF466)</f>
        <v/>
      </c>
      <c r="AH466" s="182" t="n"/>
    </row>
    <row r="467" outlineLevel="1">
      <c r="A467" s="18" t="inlineStr">
        <is>
          <t>О</t>
        </is>
      </c>
      <c r="B467" s="11">
        <f>IF($K467=B$8,1+IF(OFFSET(B467,-1,0)="",0,OFFSET(B467,-1,0)),IF(B$8&lt;$K467,IF(OFFSET(B467,-1,0)="","ERR",OFFSET(B467,-1,0)),""))</f>
        <v/>
      </c>
      <c r="C467" s="11">
        <f>IF($K467=C$8,1+IF(OFFSET(C467,-1,0)="",0,OFFSET(C467,-1,0)),IF(C$8&lt;$K467,IF(OFFSET(C467,-1,0)="","ERR",OFFSET(C467,-1,0)),""))</f>
        <v/>
      </c>
      <c r="D467" s="11">
        <f>IF($K467=D$8,1+IF(OFFSET(D467,-1,0)="",0,OFFSET(D467,-1,0)),IF(D$8&lt;$K467,IF(OFFSET(D467,-1,0)="","ERR",OFFSET(D467,-1,0)),""))</f>
        <v/>
      </c>
      <c r="E467" s="11">
        <f>IF($K467=E$8,1+IF(OFFSET(E467,-1,0)="",0,OFFSET(E467,-1,0)),IF(E$8&lt;$K467,IF(OFFSET(E467,-1,0)="","ERR",OFFSET(E467,-1,0)),""))</f>
        <v/>
      </c>
      <c r="F467" s="11">
        <f>IF($K467=F$8,1+IF(OFFSET(F467,-1,0)="",0,OFFSET(F467,-1,0)),IF(F$8&lt;$K467,IF(OFFSET(F467,-1,0)="","ERR",OFFSET(F467,-1,0)),""))</f>
        <v/>
      </c>
      <c r="G467" s="11">
        <f>IF($K467=G$8,1+IF(OFFSET(G467,-1,0)="",0,OFFSET(G467,-1,0)),IF(G$8&lt;$K467,IF(OFFSET(G467,-1,0)="","ERR",OFFSET(G467,-1,0)),""))</f>
        <v/>
      </c>
      <c r="H467" s="11">
        <f>IF($K467=H$8,1+IF(OFFSET(H467,-1,0)="",0,OFFSET(H467,-1,0)),IF(H$8&lt;$K467,IF(OFFSET(H467,-1,0)="","ERR",OFFSET(H467,-1,0)),""))</f>
        <v/>
      </c>
      <c r="I467" s="11">
        <f>IF($K467=I$8,1+IF(OFFSET(I467,-1,0)="",0,OFFSET(I467,-1,0)),IF(I$8&lt;$K467,IF(OFFSET(I467,-1,0)="","ERR",OFFSET(I467,-1,0)),""))</f>
        <v/>
      </c>
      <c r="J467" s="49">
        <f>_xlfn.TEXTJOIN(".",1,B467:I467)</f>
        <v/>
      </c>
      <c r="K467" s="49" t="inlineStr">
        <is>
          <t>Л7</t>
        </is>
      </c>
      <c r="L467" s="49" t="n"/>
      <c r="M467" s="63" t="inlineStr">
        <is>
          <t>КОММУТАТОР СЕТЕВОЙ , SONAR SNA-800, ООО «Рубеж»</t>
        </is>
      </c>
      <c r="N467" s="49" t="inlineStr">
        <is>
          <t>шт.</t>
        </is>
      </c>
      <c r="O467" s="50">
        <f>P467+Q467+S467+V467</f>
        <v/>
      </c>
      <c r="P467" s="49" t="n"/>
      <c r="Q467" s="49" t="n">
        <v>2</v>
      </c>
      <c r="R467" s="49" t="n">
        <v>2</v>
      </c>
      <c r="S467" s="49" t="n"/>
      <c r="T467" s="49" t="n"/>
      <c r="U467" s="49" t="n"/>
      <c r="V467" s="49" t="n"/>
      <c r="W467" s="50" t="n">
        <v>1</v>
      </c>
      <c r="X467" s="26" t="n">
        <v>1659174829</v>
      </c>
      <c r="Y467" s="26" t="n">
        <v>165901001</v>
      </c>
      <c r="Z467" s="26" t="inlineStr">
        <is>
          <t xml:space="preserve"> "ТК "РУТЕК"</t>
        </is>
      </c>
      <c r="AA467" s="51" t="inlineStr">
        <is>
          <t>ГТ</t>
        </is>
      </c>
      <c r="AB467" s="188" t="n"/>
      <c r="AC467" s="189" t="n"/>
      <c r="AD467" s="190">
        <f>SUM(AB467:AC467)</f>
        <v/>
      </c>
      <c r="AE467" s="190">
        <f>AB467*$O467*$W467</f>
        <v/>
      </c>
      <c r="AF467" s="190">
        <f>AC467*$O467*$W467</f>
        <v/>
      </c>
      <c r="AG467" s="190">
        <f>SUM(AE467:AF467)</f>
        <v/>
      </c>
      <c r="AH467" s="182" t="n"/>
    </row>
    <row r="468" outlineLevel="1">
      <c r="A468" s="18" t="inlineStr">
        <is>
          <t>О</t>
        </is>
      </c>
      <c r="B468" s="11">
        <f>IF($K468=B$8,1+IF(OFFSET(B468,-1,0)="",0,OFFSET(B468,-1,0)),IF(B$8&lt;$K468,IF(OFFSET(B468,-1,0)="","ERR",OFFSET(B468,-1,0)),""))</f>
        <v/>
      </c>
      <c r="C468" s="11">
        <f>IF($K468=C$8,1+IF(OFFSET(C468,-1,0)="",0,OFFSET(C468,-1,0)),IF(C$8&lt;$K468,IF(OFFSET(C468,-1,0)="","ERR",OFFSET(C468,-1,0)),""))</f>
        <v/>
      </c>
      <c r="D468" s="11">
        <f>IF($K468=D$8,1+IF(OFFSET(D468,-1,0)="",0,OFFSET(D468,-1,0)),IF(D$8&lt;$K468,IF(OFFSET(D468,-1,0)="","ERR",OFFSET(D468,-1,0)),""))</f>
        <v/>
      </c>
      <c r="E468" s="11">
        <f>IF($K468=E$8,1+IF(OFFSET(E468,-1,0)="",0,OFFSET(E468,-1,0)),IF(E$8&lt;$K468,IF(OFFSET(E468,-1,0)="","ERR",OFFSET(E468,-1,0)),""))</f>
        <v/>
      </c>
      <c r="F468" s="11">
        <f>IF($K468=F$8,1+IF(OFFSET(F468,-1,0)="",0,OFFSET(F468,-1,0)),IF(F$8&lt;$K468,IF(OFFSET(F468,-1,0)="","ERR",OFFSET(F468,-1,0)),""))</f>
        <v/>
      </c>
      <c r="G468" s="11">
        <f>IF($K468=G$8,1+IF(OFFSET(G468,-1,0)="",0,OFFSET(G468,-1,0)),IF(G$8&lt;$K468,IF(OFFSET(G468,-1,0)="","ERR",OFFSET(G468,-1,0)),""))</f>
        <v/>
      </c>
      <c r="H468" s="11">
        <f>IF($K468=H$8,1+IF(OFFSET(H468,-1,0)="",0,OFFSET(H468,-1,0)),IF(H$8&lt;$K468,IF(OFFSET(H468,-1,0)="","ERR",OFFSET(H468,-1,0)),""))</f>
        <v/>
      </c>
      <c r="I468" s="11">
        <f>IF($K468=I$8,1+IF(OFFSET(I468,-1,0)="",0,OFFSET(I468,-1,0)),IF(I$8&lt;$K468,IF(OFFSET(I468,-1,0)="","ERR",OFFSET(I468,-1,0)),""))</f>
        <v/>
      </c>
      <c r="J468" s="49">
        <f>_xlfn.TEXTJOIN(".",1,B468:I468)</f>
        <v/>
      </c>
      <c r="K468" s="49" t="inlineStr">
        <is>
          <t>Л7</t>
        </is>
      </c>
      <c r="L468" s="49" t="n"/>
      <c r="M468" s="63" t="inlineStr">
        <is>
          <t>УСТРОЙСТВО ЗАРЯДНОЕ , SONAR SBC-3250, ООО «Рубеж»</t>
        </is>
      </c>
      <c r="N468" s="49" t="inlineStr">
        <is>
          <t>шт.</t>
        </is>
      </c>
      <c r="O468" s="50">
        <f>P468+Q468+S468+V468</f>
        <v/>
      </c>
      <c r="P468" s="49" t="n"/>
      <c r="Q468" s="49" t="n">
        <v>1</v>
      </c>
      <c r="R468" s="49" t="n">
        <v>1</v>
      </c>
      <c r="S468" s="49" t="n">
        <v>1</v>
      </c>
      <c r="T468" s="49" t="n">
        <v>1</v>
      </c>
      <c r="U468" s="49" t="n">
        <v>1</v>
      </c>
      <c r="V468" s="49" t="n">
        <v>1</v>
      </c>
      <c r="W468" s="50" t="n">
        <v>1</v>
      </c>
      <c r="X468" s="26" t="n">
        <v>1659174829</v>
      </c>
      <c r="Y468" s="26" t="n">
        <v>165901001</v>
      </c>
      <c r="Z468" s="26" t="inlineStr">
        <is>
          <t xml:space="preserve"> "ТК "РУТЕК"</t>
        </is>
      </c>
      <c r="AA468" s="51" t="inlineStr">
        <is>
          <t>ГТ</t>
        </is>
      </c>
      <c r="AB468" s="188" t="n"/>
      <c r="AC468" s="189" t="n"/>
      <c r="AD468" s="190">
        <f>SUM(AB468:AC468)</f>
        <v/>
      </c>
      <c r="AE468" s="190">
        <f>AB468*$O468*$W468</f>
        <v/>
      </c>
      <c r="AF468" s="190">
        <f>AC468*$O468*$W468</f>
        <v/>
      </c>
      <c r="AG468" s="190">
        <f>SUM(AE468:AF468)</f>
        <v/>
      </c>
      <c r="AH468" s="182" t="n"/>
    </row>
    <row r="469" outlineLevel="1">
      <c r="A469" s="18" t="inlineStr">
        <is>
          <t>О</t>
        </is>
      </c>
      <c r="B469" s="11">
        <f>IF($K469=B$8,1+IF(OFFSET(B469,-1,0)="",0,OFFSET(B469,-1,0)),IF(B$8&lt;$K469,IF(OFFSET(B469,-1,0)="","ERR",OFFSET(B469,-1,0)),""))</f>
        <v/>
      </c>
      <c r="C469" s="11">
        <f>IF($K469=C$8,1+IF(OFFSET(C469,-1,0)="",0,OFFSET(C469,-1,0)),IF(C$8&lt;$K469,IF(OFFSET(C469,-1,0)="","ERR",OFFSET(C469,-1,0)),""))</f>
        <v/>
      </c>
      <c r="D469" s="11">
        <f>IF($K469=D$8,1+IF(OFFSET(D469,-1,0)="",0,OFFSET(D469,-1,0)),IF(D$8&lt;$K469,IF(OFFSET(D469,-1,0)="","ERR",OFFSET(D469,-1,0)),""))</f>
        <v/>
      </c>
      <c r="E469" s="11">
        <f>IF($K469=E$8,1+IF(OFFSET(E469,-1,0)="",0,OFFSET(E469,-1,0)),IF(E$8&lt;$K469,IF(OFFSET(E469,-1,0)="","ERR",OFFSET(E469,-1,0)),""))</f>
        <v/>
      </c>
      <c r="F469" s="11">
        <f>IF($K469=F$8,1+IF(OFFSET(F469,-1,0)="",0,OFFSET(F469,-1,0)),IF(F$8&lt;$K469,IF(OFFSET(F469,-1,0)="","ERR",OFFSET(F469,-1,0)),""))</f>
        <v/>
      </c>
      <c r="G469" s="11">
        <f>IF($K469=G$8,1+IF(OFFSET(G469,-1,0)="",0,OFFSET(G469,-1,0)),IF(G$8&lt;$K469,IF(OFFSET(G469,-1,0)="","ERR",OFFSET(G469,-1,0)),""))</f>
        <v/>
      </c>
      <c r="H469" s="11">
        <f>IF($K469=H$8,1+IF(OFFSET(H469,-1,0)="",0,OFFSET(H469,-1,0)),IF(H$8&lt;$K469,IF(OFFSET(H469,-1,0)="","ERR",OFFSET(H469,-1,0)),""))</f>
        <v/>
      </c>
      <c r="I469" s="11">
        <f>IF($K469=I$8,1+IF(OFFSET(I469,-1,0)="",0,OFFSET(I469,-1,0)),IF(I$8&lt;$K469,IF(OFFSET(I469,-1,0)="","ERR",OFFSET(I469,-1,0)),""))</f>
        <v/>
      </c>
      <c r="J469" s="49">
        <f>_xlfn.TEXTJOIN(".",1,B469:I469)</f>
        <v/>
      </c>
      <c r="K469" s="49" t="inlineStr">
        <is>
          <t>Л7</t>
        </is>
      </c>
      <c r="L469" s="49" t="n"/>
      <c r="M469" s="63" t="inlineStr">
        <is>
          <t>Блоки АКБ 24В , SONAR SBB-2425, ООО «Рубеж»</t>
        </is>
      </c>
      <c r="N469" s="49" t="inlineStr">
        <is>
          <t>шт.</t>
        </is>
      </c>
      <c r="O469" s="50">
        <f>P469+Q469+S469+V469</f>
        <v/>
      </c>
      <c r="P469" s="49" t="n"/>
      <c r="Q469" s="49" t="n">
        <v>1</v>
      </c>
      <c r="R469" s="49" t="n">
        <v>1</v>
      </c>
      <c r="S469" s="49" t="n">
        <v>1</v>
      </c>
      <c r="T469" s="49" t="n">
        <v>1</v>
      </c>
      <c r="U469" s="49" t="n">
        <v>1</v>
      </c>
      <c r="V469" s="49" t="n">
        <v>1</v>
      </c>
      <c r="W469" s="50" t="n">
        <v>1</v>
      </c>
      <c r="X469" s="26" t="n">
        <v>1659174829</v>
      </c>
      <c r="Y469" s="26" t="n">
        <v>165901001</v>
      </c>
      <c r="Z469" s="26" t="inlineStr">
        <is>
          <t xml:space="preserve"> "ТК "РУТЕК"</t>
        </is>
      </c>
      <c r="AA469" s="51" t="inlineStr">
        <is>
          <t>ГТ</t>
        </is>
      </c>
      <c r="AB469" s="188" t="n"/>
      <c r="AC469" s="189" t="n"/>
      <c r="AD469" s="190">
        <f>SUM(AB469:AC469)</f>
        <v/>
      </c>
      <c r="AE469" s="190">
        <f>AB469*$O469*$W469</f>
        <v/>
      </c>
      <c r="AF469" s="190">
        <f>AC469*$O469*$W469</f>
        <v/>
      </c>
      <c r="AG469" s="190">
        <f>SUM(AE469:AF469)</f>
        <v/>
      </c>
      <c r="AH469" s="182" t="n"/>
    </row>
    <row r="470" outlineLevel="1">
      <c r="A470" s="18" t="inlineStr">
        <is>
          <t>О</t>
        </is>
      </c>
      <c r="B470" s="11">
        <f>IF($K470=B$8,1+IF(OFFSET(B470,-1,0)="",0,OFFSET(B470,-1,0)),IF(B$8&lt;$K470,IF(OFFSET(B470,-1,0)="","ERR",OFFSET(B470,-1,0)),""))</f>
        <v/>
      </c>
      <c r="C470" s="11">
        <f>IF($K470=C$8,1+IF(OFFSET(C470,-1,0)="",0,OFFSET(C470,-1,0)),IF(C$8&lt;$K470,IF(OFFSET(C470,-1,0)="","ERR",OFFSET(C470,-1,0)),""))</f>
        <v/>
      </c>
      <c r="D470" s="11">
        <f>IF($K470=D$8,1+IF(OFFSET(D470,-1,0)="",0,OFFSET(D470,-1,0)),IF(D$8&lt;$K470,IF(OFFSET(D470,-1,0)="","ERR",OFFSET(D470,-1,0)),""))</f>
        <v/>
      </c>
      <c r="E470" s="11">
        <f>IF($K470=E$8,1+IF(OFFSET(E470,-1,0)="",0,OFFSET(E470,-1,0)),IF(E$8&lt;$K470,IF(OFFSET(E470,-1,0)="","ERR",OFFSET(E470,-1,0)),""))</f>
        <v/>
      </c>
      <c r="F470" s="11">
        <f>IF($K470=F$8,1+IF(OFFSET(F470,-1,0)="",0,OFFSET(F470,-1,0)),IF(F$8&lt;$K470,IF(OFFSET(F470,-1,0)="","ERR",OFFSET(F470,-1,0)),""))</f>
        <v/>
      </c>
      <c r="G470" s="11">
        <f>IF($K470=G$8,1+IF(OFFSET(G470,-1,0)="",0,OFFSET(G470,-1,0)),IF(G$8&lt;$K470,IF(OFFSET(G470,-1,0)="","ERR",OFFSET(G470,-1,0)),""))</f>
        <v/>
      </c>
      <c r="H470" s="11">
        <f>IF($K470=H$8,1+IF(OFFSET(H470,-1,0)="",0,OFFSET(H470,-1,0)),IF(H$8&lt;$K470,IF(OFFSET(H470,-1,0)="","ERR",OFFSET(H470,-1,0)),""))</f>
        <v/>
      </c>
      <c r="I470" s="11">
        <f>IF($K470=I$8,1+IF(OFFSET(I470,-1,0)="",0,OFFSET(I470,-1,0)),IF(I$8&lt;$K470,IF(OFFSET(I470,-1,0)="","ERR",OFFSET(I470,-1,0)),""))</f>
        <v/>
      </c>
      <c r="J470" s="49">
        <f>_xlfn.TEXTJOIN(".",1,B470:I470)</f>
        <v/>
      </c>
      <c r="K470" s="49" t="inlineStr">
        <is>
          <t>Л7</t>
        </is>
      </c>
      <c r="L470" s="49" t="n"/>
      <c r="M470" s="63" t="inlineStr">
        <is>
          <t>Силовой блок распределения питания , Sonar RDIP-50A, ООО «Рубеж»</t>
        </is>
      </c>
      <c r="N470" s="49" t="inlineStr">
        <is>
          <t>шт.</t>
        </is>
      </c>
      <c r="O470" s="50">
        <f>P470+Q470+S470+V470</f>
        <v/>
      </c>
      <c r="P470" s="49" t="n"/>
      <c r="Q470" s="49" t="n">
        <v>1</v>
      </c>
      <c r="R470" s="49" t="n">
        <v>1</v>
      </c>
      <c r="S470" s="49" t="n">
        <v>1</v>
      </c>
      <c r="T470" s="49" t="n">
        <v>1</v>
      </c>
      <c r="U470" s="49" t="n">
        <v>1</v>
      </c>
      <c r="V470" s="49" t="n">
        <v>1</v>
      </c>
      <c r="W470" s="50" t="n">
        <v>1</v>
      </c>
      <c r="X470" s="26" t="n">
        <v>1659174829</v>
      </c>
      <c r="Y470" s="26" t="n">
        <v>165901001</v>
      </c>
      <c r="Z470" s="26" t="inlineStr">
        <is>
          <t xml:space="preserve"> "ТК "РУТЕК"</t>
        </is>
      </c>
      <c r="AA470" s="51" t="inlineStr">
        <is>
          <t>ГТ</t>
        </is>
      </c>
      <c r="AB470" s="188" t="n"/>
      <c r="AC470" s="189" t="n"/>
      <c r="AD470" s="190">
        <f>SUM(AB470:AC470)</f>
        <v/>
      </c>
      <c r="AE470" s="190">
        <f>AB470*$O470*$W470</f>
        <v/>
      </c>
      <c r="AF470" s="190">
        <f>AC470*$O470*$W470</f>
        <v/>
      </c>
      <c r="AG470" s="190">
        <f>SUM(AE470:AF470)</f>
        <v/>
      </c>
      <c r="AH470" s="182" t="n"/>
    </row>
    <row r="471" outlineLevel="1">
      <c r="A471" s="18" t="inlineStr">
        <is>
          <t>О</t>
        </is>
      </c>
      <c r="B471" s="11">
        <f>IF($K471=B$8,1+IF(OFFSET(B471,-1,0)="",0,OFFSET(B471,-1,0)),IF(B$8&lt;$K471,IF(OFFSET(B471,-1,0)="","ERR",OFFSET(B471,-1,0)),""))</f>
        <v/>
      </c>
      <c r="C471" s="11">
        <f>IF($K471=C$8,1+IF(OFFSET(C471,-1,0)="",0,OFFSET(C471,-1,0)),IF(C$8&lt;$K471,IF(OFFSET(C471,-1,0)="","ERR",OFFSET(C471,-1,0)),""))</f>
        <v/>
      </c>
      <c r="D471" s="11">
        <f>IF($K471=D$8,1+IF(OFFSET(D471,-1,0)="",0,OFFSET(D471,-1,0)),IF(D$8&lt;$K471,IF(OFFSET(D471,-1,0)="","ERR",OFFSET(D471,-1,0)),""))</f>
        <v/>
      </c>
      <c r="E471" s="11">
        <f>IF($K471=E$8,1+IF(OFFSET(E471,-1,0)="",0,OFFSET(E471,-1,0)),IF(E$8&lt;$K471,IF(OFFSET(E471,-1,0)="","ERR",OFFSET(E471,-1,0)),""))</f>
        <v/>
      </c>
      <c r="F471" s="11">
        <f>IF($K471=F$8,1+IF(OFFSET(F471,-1,0)="",0,OFFSET(F471,-1,0)),IF(F$8&lt;$K471,IF(OFFSET(F471,-1,0)="","ERR",OFFSET(F471,-1,0)),""))</f>
        <v/>
      </c>
      <c r="G471" s="11">
        <f>IF($K471=G$8,1+IF(OFFSET(G471,-1,0)="",0,OFFSET(G471,-1,0)),IF(G$8&lt;$K471,IF(OFFSET(G471,-1,0)="","ERR",OFFSET(G471,-1,0)),""))</f>
        <v/>
      </c>
      <c r="H471" s="11">
        <f>IF($K471=H$8,1+IF(OFFSET(H471,-1,0)="",0,OFFSET(H471,-1,0)),IF(H$8&lt;$K471,IF(OFFSET(H471,-1,0)="","ERR",OFFSET(H471,-1,0)),""))</f>
        <v/>
      </c>
      <c r="I471" s="11">
        <f>IF($K471=I$8,1+IF(OFFSET(I471,-1,0)="",0,OFFSET(I471,-1,0)),IF(I$8&lt;$K471,IF(OFFSET(I471,-1,0)="","ERR",OFFSET(I471,-1,0)),""))</f>
        <v/>
      </c>
      <c r="J471" s="49">
        <f>_xlfn.TEXTJOIN(".",1,B471:I471)</f>
        <v/>
      </c>
      <c r="K471" s="49" t="inlineStr">
        <is>
          <t>Л7</t>
        </is>
      </c>
      <c r="L471" s="49" t="n"/>
      <c r="M471" s="63" t="inlineStr">
        <is>
          <t>Блок из 8 розеток , Sonar RD-8 (pwc), ООО «Рубеж»</t>
        </is>
      </c>
      <c r="N471" s="49" t="inlineStr">
        <is>
          <t>шт.</t>
        </is>
      </c>
      <c r="O471" s="50">
        <f>P471+Q471+S471+V471</f>
        <v/>
      </c>
      <c r="P471" s="49" t="n"/>
      <c r="Q471" s="49" t="n">
        <v>1</v>
      </c>
      <c r="R471" s="49" t="n">
        <v>1</v>
      </c>
      <c r="S471" s="49" t="n">
        <v>1</v>
      </c>
      <c r="T471" s="49" t="n">
        <v>1</v>
      </c>
      <c r="U471" s="49" t="n">
        <v>1</v>
      </c>
      <c r="V471" s="49" t="n">
        <v>1</v>
      </c>
      <c r="W471" s="50" t="n">
        <v>1</v>
      </c>
      <c r="X471" s="26" t="n">
        <v>1659174829</v>
      </c>
      <c r="Y471" s="26" t="n">
        <v>165901001</v>
      </c>
      <c r="Z471" s="26" t="inlineStr">
        <is>
          <t xml:space="preserve"> "ТК "РУТЕК"</t>
        </is>
      </c>
      <c r="AA471" s="51" t="inlineStr">
        <is>
          <t>ГТ</t>
        </is>
      </c>
      <c r="AB471" s="188" t="n"/>
      <c r="AC471" s="189" t="n"/>
      <c r="AD471" s="190">
        <f>SUM(AB471:AC471)</f>
        <v/>
      </c>
      <c r="AE471" s="190">
        <f>AB471*$O471*$W471</f>
        <v/>
      </c>
      <c r="AF471" s="190">
        <f>AC471*$O471*$W471</f>
        <v/>
      </c>
      <c r="AG471" s="190">
        <f>SUM(AE471:AF471)</f>
        <v/>
      </c>
      <c r="AH471" s="182" t="n"/>
    </row>
    <row r="472" outlineLevel="1">
      <c r="A472" s="18" t="inlineStr">
        <is>
          <t>О</t>
        </is>
      </c>
      <c r="B472" s="11">
        <f>IF($K472=B$8,1+IF(OFFSET(B472,-1,0)="",0,OFFSET(B472,-1,0)),IF(B$8&lt;$K472,IF(OFFSET(B472,-1,0)="","ERR",OFFSET(B472,-1,0)),""))</f>
        <v/>
      </c>
      <c r="C472" s="11">
        <f>IF($K472=C$8,1+IF(OFFSET(C472,-1,0)="",0,OFFSET(C472,-1,0)),IF(C$8&lt;$K472,IF(OFFSET(C472,-1,0)="","ERR",OFFSET(C472,-1,0)),""))</f>
        <v/>
      </c>
      <c r="D472" s="11">
        <f>IF($K472=D$8,1+IF(OFFSET(D472,-1,0)="",0,OFFSET(D472,-1,0)),IF(D$8&lt;$K472,IF(OFFSET(D472,-1,0)="","ERR",OFFSET(D472,-1,0)),""))</f>
        <v/>
      </c>
      <c r="E472" s="11">
        <f>IF($K472=E$8,1+IF(OFFSET(E472,-1,0)="",0,OFFSET(E472,-1,0)),IF(E$8&lt;$K472,IF(OFFSET(E472,-1,0)="","ERR",OFFSET(E472,-1,0)),""))</f>
        <v/>
      </c>
      <c r="F472" s="11">
        <f>IF($K472=F$8,1+IF(OFFSET(F472,-1,0)="",0,OFFSET(F472,-1,0)),IF(F$8&lt;$K472,IF(OFFSET(F472,-1,0)="","ERR",OFFSET(F472,-1,0)),""))</f>
        <v/>
      </c>
      <c r="G472" s="11">
        <f>IF($K472=G$8,1+IF(OFFSET(G472,-1,0)="",0,OFFSET(G472,-1,0)),IF(G$8&lt;$K472,IF(OFFSET(G472,-1,0)="","ERR",OFFSET(G472,-1,0)),""))</f>
        <v/>
      </c>
      <c r="H472" s="11">
        <f>IF($K472=H$8,1+IF(OFFSET(H472,-1,0)="",0,OFFSET(H472,-1,0)),IF(H$8&lt;$K472,IF(OFFSET(H472,-1,0)="","ERR",OFFSET(H472,-1,0)),""))</f>
        <v/>
      </c>
      <c r="I472" s="11">
        <f>IF($K472=I$8,1+IF(OFFSET(I472,-1,0)="",0,OFFSET(I472,-1,0)),IF(I$8&lt;$K472,IF(OFFSET(I472,-1,0)="","ERR",OFFSET(I472,-1,0)),""))</f>
        <v/>
      </c>
      <c r="J472" s="49">
        <f>_xlfn.TEXTJOIN(".",1,B472:I472)</f>
        <v/>
      </c>
      <c r="K472" s="49" t="inlineStr">
        <is>
          <t>Л7</t>
        </is>
      </c>
      <c r="L472" s="49" t="n"/>
      <c r="M472" s="63" t="inlineStr">
        <is>
          <t>Блок управления вентилятором , Sonar SAB-1112-SE, ООО «Рубеж»</t>
        </is>
      </c>
      <c r="N472" s="49" t="inlineStr">
        <is>
          <t>шт.</t>
        </is>
      </c>
      <c r="O472" s="50">
        <f>P472+Q472+S472+V472</f>
        <v/>
      </c>
      <c r="P472" s="49" t="n"/>
      <c r="Q472" s="49" t="n">
        <v>1</v>
      </c>
      <c r="R472" s="49" t="n">
        <v>1</v>
      </c>
      <c r="S472" s="49" t="n">
        <v>1</v>
      </c>
      <c r="T472" s="49" t="n">
        <v>1</v>
      </c>
      <c r="U472" s="49" t="n">
        <v>1</v>
      </c>
      <c r="V472" s="49" t="n">
        <v>1</v>
      </c>
      <c r="W472" s="50" t="n">
        <v>1</v>
      </c>
      <c r="X472" s="26" t="n">
        <v>1659174829</v>
      </c>
      <c r="Y472" s="26" t="n">
        <v>165901001</v>
      </c>
      <c r="Z472" s="26" t="inlineStr">
        <is>
          <t xml:space="preserve"> "ТК "РУТЕК"</t>
        </is>
      </c>
      <c r="AA472" s="51" t="inlineStr">
        <is>
          <t>ГТ</t>
        </is>
      </c>
      <c r="AB472" s="188" t="n"/>
      <c r="AC472" s="189" t="n"/>
      <c r="AD472" s="190">
        <f>SUM(AB472:AC472)</f>
        <v/>
      </c>
      <c r="AE472" s="190">
        <f>AB472*$O472*$W472</f>
        <v/>
      </c>
      <c r="AF472" s="190">
        <f>AC472*$O472*$W472</f>
        <v/>
      </c>
      <c r="AG472" s="190">
        <f>SUM(AE472:AF472)</f>
        <v/>
      </c>
      <c r="AH472" s="182" t="n"/>
    </row>
    <row r="473" outlineLevel="1">
      <c r="A473" s="18" t="inlineStr">
        <is>
          <t>О</t>
        </is>
      </c>
      <c r="B473" s="11">
        <f>IF($K473=B$8,1+IF(OFFSET(B473,-1,0)="",0,OFFSET(B473,-1,0)),IF(B$8&lt;$K473,IF(OFFSET(B473,-1,0)="","ERR",OFFSET(B473,-1,0)),""))</f>
        <v/>
      </c>
      <c r="C473" s="11">
        <f>IF($K473=C$8,1+IF(OFFSET(C473,-1,0)="",0,OFFSET(C473,-1,0)),IF(C$8&lt;$K473,IF(OFFSET(C473,-1,0)="","ERR",OFFSET(C473,-1,0)),""))</f>
        <v/>
      </c>
      <c r="D473" s="11">
        <f>IF($K473=D$8,1+IF(OFFSET(D473,-1,0)="",0,OFFSET(D473,-1,0)),IF(D$8&lt;$K473,IF(OFFSET(D473,-1,0)="","ERR",OFFSET(D473,-1,0)),""))</f>
        <v/>
      </c>
      <c r="E473" s="11">
        <f>IF($K473=E$8,1+IF(OFFSET(E473,-1,0)="",0,OFFSET(E473,-1,0)),IF(E$8&lt;$K473,IF(OFFSET(E473,-1,0)="","ERR",OFFSET(E473,-1,0)),""))</f>
        <v/>
      </c>
      <c r="F473" s="11">
        <f>IF($K473=F$8,1+IF(OFFSET(F473,-1,0)="",0,OFFSET(F473,-1,0)),IF(F$8&lt;$K473,IF(OFFSET(F473,-1,0)="","ERR",OFFSET(F473,-1,0)),""))</f>
        <v/>
      </c>
      <c r="G473" s="11">
        <f>IF($K473=G$8,1+IF(OFFSET(G473,-1,0)="",0,OFFSET(G473,-1,0)),IF(G$8&lt;$K473,IF(OFFSET(G473,-1,0)="","ERR",OFFSET(G473,-1,0)),""))</f>
        <v/>
      </c>
      <c r="H473" s="11">
        <f>IF($K473=H$8,1+IF(OFFSET(H473,-1,0)="",0,OFFSET(H473,-1,0)),IF(H$8&lt;$K473,IF(OFFSET(H473,-1,0)="","ERR",OFFSET(H473,-1,0)),""))</f>
        <v/>
      </c>
      <c r="I473" s="11">
        <f>IF($K473=I$8,1+IF(OFFSET(I473,-1,0)="",0,OFFSET(I473,-1,0)),IF(I$8&lt;$K473,IF(OFFSET(I473,-1,0)="","ERR",OFFSET(I473,-1,0)),""))</f>
        <v/>
      </c>
      <c r="J473" s="49">
        <f>_xlfn.TEXTJOIN(".",1,B473:I473)</f>
        <v/>
      </c>
      <c r="K473" s="49" t="inlineStr">
        <is>
          <t>Л7</t>
        </is>
      </c>
      <c r="L473" s="49" t="n"/>
      <c r="M473" s="63" t="inlineStr">
        <is>
          <t>Вентилятор на заднюю панель , Sonar RBV-024 (v2), ООО «Рубеж»</t>
        </is>
      </c>
      <c r="N473" s="49" t="inlineStr">
        <is>
          <t>шт.</t>
        </is>
      </c>
      <c r="O473" s="50">
        <f>P473+Q473+S473+V473</f>
        <v/>
      </c>
      <c r="P473" s="49" t="n"/>
      <c r="Q473" s="49" t="n">
        <v>2</v>
      </c>
      <c r="R473" s="49" t="n">
        <v>2</v>
      </c>
      <c r="S473" s="49" t="n">
        <v>2</v>
      </c>
      <c r="T473" s="49" t="n">
        <v>2</v>
      </c>
      <c r="U473" s="49" t="n">
        <v>2</v>
      </c>
      <c r="V473" s="49" t="n">
        <v>2</v>
      </c>
      <c r="W473" s="50" t="n">
        <v>1</v>
      </c>
      <c r="X473" s="26" t="n">
        <v>1659174829</v>
      </c>
      <c r="Y473" s="26" t="n">
        <v>165901001</v>
      </c>
      <c r="Z473" s="26" t="inlineStr">
        <is>
          <t xml:space="preserve"> "ТК "РУТЕК"</t>
        </is>
      </c>
      <c r="AA473" s="51" t="inlineStr">
        <is>
          <t>ГТ</t>
        </is>
      </c>
      <c r="AB473" s="188" t="n"/>
      <c r="AC473" s="189" t="n"/>
      <c r="AD473" s="190">
        <f>SUM(AB473:AC473)</f>
        <v/>
      </c>
      <c r="AE473" s="190">
        <f>AB473*$O473*$W473</f>
        <v/>
      </c>
      <c r="AF473" s="190">
        <f>AC473*$O473*$W473</f>
        <v/>
      </c>
      <c r="AG473" s="190">
        <f>SUM(AE473:AF473)</f>
        <v/>
      </c>
      <c r="AH473" s="182" t="n"/>
    </row>
    <row r="474" outlineLevel="1">
      <c r="A474" s="18" t="inlineStr">
        <is>
          <t>О</t>
        </is>
      </c>
      <c r="B474" s="11">
        <f>IF($K474=B$8,1+IF(OFFSET(B474,-1,0)="",0,OFFSET(B474,-1,0)),IF(B$8&lt;$K474,IF(OFFSET(B474,-1,0)="","ERR",OFFSET(B474,-1,0)),""))</f>
        <v/>
      </c>
      <c r="C474" s="11">
        <f>IF($K474=C$8,1+IF(OFFSET(C474,-1,0)="",0,OFFSET(C474,-1,0)),IF(C$8&lt;$K474,IF(OFFSET(C474,-1,0)="","ERR",OFFSET(C474,-1,0)),""))</f>
        <v/>
      </c>
      <c r="D474" s="11">
        <f>IF($K474=D$8,1+IF(OFFSET(D474,-1,0)="",0,OFFSET(D474,-1,0)),IF(D$8&lt;$K474,IF(OFFSET(D474,-1,0)="","ERR",OFFSET(D474,-1,0)),""))</f>
        <v/>
      </c>
      <c r="E474" s="11">
        <f>IF($K474=E$8,1+IF(OFFSET(E474,-1,0)="",0,OFFSET(E474,-1,0)),IF(E$8&lt;$K474,IF(OFFSET(E474,-1,0)="","ERR",OFFSET(E474,-1,0)),""))</f>
        <v/>
      </c>
      <c r="F474" s="11">
        <f>IF($K474=F$8,1+IF(OFFSET(F474,-1,0)="",0,OFFSET(F474,-1,0)),IF(F$8&lt;$K474,IF(OFFSET(F474,-1,0)="","ERR",OFFSET(F474,-1,0)),""))</f>
        <v/>
      </c>
      <c r="G474" s="11">
        <f>IF($K474=G$8,1+IF(OFFSET(G474,-1,0)="",0,OFFSET(G474,-1,0)),IF(G$8&lt;$K474,IF(OFFSET(G474,-1,0)="","ERR",OFFSET(G474,-1,0)),""))</f>
        <v/>
      </c>
      <c r="H474" s="11">
        <f>IF($K474=H$8,1+IF(OFFSET(H474,-1,0)="",0,OFFSET(H474,-1,0)),IF(H$8&lt;$K474,IF(OFFSET(H474,-1,0)="","ERR",OFFSET(H474,-1,0)),""))</f>
        <v/>
      </c>
      <c r="I474" s="11">
        <f>IF($K474=I$8,1+IF(OFFSET(I474,-1,0)="",0,OFFSET(I474,-1,0)),IF(I$8&lt;$K474,IF(OFFSET(I474,-1,0)="","ERR",OFFSET(I474,-1,0)),""))</f>
        <v/>
      </c>
      <c r="J474" s="49">
        <f>_xlfn.TEXTJOIN(".",1,B474:I474)</f>
        <v/>
      </c>
      <c r="K474" s="49" t="inlineStr">
        <is>
          <t>Л7</t>
        </is>
      </c>
      <c r="L474" s="49" t="n"/>
      <c r="M474" s="63" t="inlineStr">
        <is>
          <t>Шнур оптоволоконный коммутационный, LC-LC, 9/125, Duplex, 1 м, [EX9L-L1D], ООО «Рубеж»</t>
        </is>
      </c>
      <c r="N474" s="49" t="inlineStr">
        <is>
          <t>шт.</t>
        </is>
      </c>
      <c r="O474" s="50">
        <f>P474+Q474+S474+V474</f>
        <v/>
      </c>
      <c r="P474" s="49" t="n"/>
      <c r="Q474" s="49" t="n">
        <v>4</v>
      </c>
      <c r="R474" s="49" t="n">
        <v>4</v>
      </c>
      <c r="S474" s="49" t="n"/>
      <c r="T474" s="49" t="n"/>
      <c r="U474" s="49" t="n"/>
      <c r="V474" s="49" t="n"/>
      <c r="W474" s="50" t="n">
        <v>1</v>
      </c>
      <c r="X474" s="26" t="n">
        <v>1659174829</v>
      </c>
      <c r="Y474" s="26" t="n">
        <v>165901001</v>
      </c>
      <c r="Z474" s="26" t="inlineStr">
        <is>
          <t xml:space="preserve"> "ТК "РУТЕК"</t>
        </is>
      </c>
      <c r="AA474" s="51" t="inlineStr">
        <is>
          <t>ГТ</t>
        </is>
      </c>
      <c r="AB474" s="188" t="n"/>
      <c r="AC474" s="189" t="n"/>
      <c r="AD474" s="190">
        <f>SUM(AB474:AC474)</f>
        <v/>
      </c>
      <c r="AE474" s="190">
        <f>AB474*$O474*$W474</f>
        <v/>
      </c>
      <c r="AF474" s="190">
        <f>AC474*$O474*$W474</f>
        <v/>
      </c>
      <c r="AG474" s="190">
        <f>SUM(AE474:AF474)</f>
        <v/>
      </c>
      <c r="AH474" s="182" t="n"/>
    </row>
    <row r="475" outlineLevel="1">
      <c r="A475" s="18" t="inlineStr">
        <is>
          <t>О</t>
        </is>
      </c>
      <c r="B475" s="11">
        <f>IF($K475=B$8,1+IF(OFFSET(B475,-1,0)="",0,OFFSET(B475,-1,0)),IF(B$8&lt;$K475,IF(OFFSET(B475,-1,0)="","ERR",OFFSET(B475,-1,0)),""))</f>
        <v/>
      </c>
      <c r="C475" s="11">
        <f>IF($K475=C$8,1+IF(OFFSET(C475,-1,0)="",0,OFFSET(C475,-1,0)),IF(C$8&lt;$K475,IF(OFFSET(C475,-1,0)="","ERR",OFFSET(C475,-1,0)),""))</f>
        <v/>
      </c>
      <c r="D475" s="11">
        <f>IF($K475=D$8,1+IF(OFFSET(D475,-1,0)="",0,OFFSET(D475,-1,0)),IF(D$8&lt;$K475,IF(OFFSET(D475,-1,0)="","ERR",OFFSET(D475,-1,0)),""))</f>
        <v/>
      </c>
      <c r="E475" s="11">
        <f>IF($K475=E$8,1+IF(OFFSET(E475,-1,0)="",0,OFFSET(E475,-1,0)),IF(E$8&lt;$K475,IF(OFFSET(E475,-1,0)="","ERR",OFFSET(E475,-1,0)),""))</f>
        <v/>
      </c>
      <c r="F475" s="11">
        <f>IF($K475=F$8,1+IF(OFFSET(F475,-1,0)="",0,OFFSET(F475,-1,0)),IF(F$8&lt;$K475,IF(OFFSET(F475,-1,0)="","ERR",OFFSET(F475,-1,0)),""))</f>
        <v/>
      </c>
      <c r="G475" s="11">
        <f>IF($K475=G$8,1+IF(OFFSET(G475,-1,0)="",0,OFFSET(G475,-1,0)),IF(G$8&lt;$K475,IF(OFFSET(G475,-1,0)="","ERR",OFFSET(G475,-1,0)),""))</f>
        <v/>
      </c>
      <c r="H475" s="11">
        <f>IF($K475=H$8,1+IF(OFFSET(H475,-1,0)="",0,OFFSET(H475,-1,0)),IF(H$8&lt;$K475,IF(OFFSET(H475,-1,0)="","ERR",OFFSET(H475,-1,0)),""))</f>
        <v/>
      </c>
      <c r="I475" s="11">
        <f>IF($K475=I$8,1+IF(OFFSET(I475,-1,0)="",0,OFFSET(I475,-1,0)),IF(I$8&lt;$K475,IF(OFFSET(I475,-1,0)="","ERR",OFFSET(I475,-1,0)),""))</f>
        <v/>
      </c>
      <c r="J475" s="46">
        <f>_xlfn.TEXTJOIN(".",1,B475:I475)</f>
        <v/>
      </c>
      <c r="K475" s="46" t="inlineStr">
        <is>
          <t>Л7</t>
        </is>
      </c>
      <c r="L475" s="46" t="n"/>
      <c r="M475" s="64" t="inlineStr">
        <is>
          <t>Сопутствующие и прочие материалы*</t>
        </is>
      </c>
      <c r="N475" s="46" t="inlineStr">
        <is>
          <t>компл</t>
        </is>
      </c>
      <c r="O475" s="94">
        <f>P475+Q475+S475+V475</f>
        <v/>
      </c>
      <c r="P475" s="46" t="n"/>
      <c r="Q475" s="46" t="n">
        <v>1</v>
      </c>
      <c r="R475" s="46" t="n">
        <v>1</v>
      </c>
      <c r="S475" s="46" t="n">
        <v>1</v>
      </c>
      <c r="T475" s="46" t="n">
        <v>1</v>
      </c>
      <c r="U475" s="46" t="n">
        <v>1</v>
      </c>
      <c r="V475" s="46" t="n">
        <v>1</v>
      </c>
      <c r="W475" s="46" t="n"/>
      <c r="X475" s="46" t="n"/>
      <c r="Y475" s="46" t="n"/>
      <c r="Z475" s="46" t="n"/>
      <c r="AA475" s="48" t="n"/>
      <c r="AB475" s="179" t="n"/>
      <c r="AC475" s="189" t="n"/>
      <c r="AD475" s="189">
        <f>SUM(AB475:AC475)</f>
        <v/>
      </c>
      <c r="AE475" s="189">
        <f>AB475*$O475</f>
        <v/>
      </c>
      <c r="AF475" s="189">
        <f>AC475*$O475</f>
        <v/>
      </c>
      <c r="AG475" s="189">
        <f>SUM(AE475:AF475)</f>
        <v/>
      </c>
      <c r="AH475" s="182" t="n"/>
    </row>
    <row r="476" outlineLevel="1">
      <c r="A476" s="18" t="n"/>
      <c r="B476" s="11">
        <f>IF($K476=B$8,1+IF(OFFSET(B476,-1,0)="",0,OFFSET(B476,-1,0)),IF(B$8&lt;$K476,IF(OFFSET(B476,-1,0)="","ERR",OFFSET(B476,-1,0)),""))</f>
        <v/>
      </c>
      <c r="C476" s="11">
        <f>IF($K476=C$8,1+IF(OFFSET(C476,-1,0)="",0,OFFSET(C476,-1,0)),IF(C$8&lt;$K476,IF(OFFSET(C476,-1,0)="","ERR",OFFSET(C476,-1,0)),""))</f>
        <v/>
      </c>
      <c r="D476" s="11">
        <f>IF($K476=D$8,1+IF(OFFSET(D476,-1,0)="",0,OFFSET(D476,-1,0)),IF(D$8&lt;$K476,IF(OFFSET(D476,-1,0)="","ERR",OFFSET(D476,-1,0)),""))</f>
        <v/>
      </c>
      <c r="E476" s="11">
        <f>IF($K476=E$8,1+IF(OFFSET(E476,-1,0)="",0,OFFSET(E476,-1,0)),IF(E$8&lt;$K476,IF(OFFSET(E476,-1,0)="","ERR",OFFSET(E476,-1,0)),""))</f>
        <v/>
      </c>
      <c r="F476" s="11">
        <f>IF($K476=F$8,1+IF(OFFSET(F476,-1,0)="",0,OFFSET(F476,-1,0)),IF(F$8&lt;$K476,IF(OFFSET(F476,-1,0)="","ERR",OFFSET(F476,-1,0)),""))</f>
        <v/>
      </c>
      <c r="G476" s="11">
        <f>IF($K476=G$8,1+IF(OFFSET(G476,-1,0)="",0,OFFSET(G476,-1,0)),IF(G$8&lt;$K476,IF(OFFSET(G476,-1,0)="","ERR",OFFSET(G476,-1,0)),""))</f>
        <v/>
      </c>
      <c r="H476" s="11">
        <f>IF($K476=H$8,1+IF(OFFSET(H476,-1,0)="",0,OFFSET(H476,-1,0)),IF(H$8&lt;$K476,IF(OFFSET(H476,-1,0)="","ERR",OFFSET(H476,-1,0)),""))</f>
        <v/>
      </c>
      <c r="I476" s="11">
        <f>IF($K476=I$8,1+IF(OFFSET(I476,-1,0)="",0,OFFSET(I476,-1,0)),IF(I$8&lt;$K476,IF(OFFSET(I476,-1,0)="","ERR",OFFSET(I476,-1,0)),""))</f>
        <v/>
      </c>
      <c r="J476" s="43">
        <f>_xlfn.TEXTJOIN(".",1,B476:I476)</f>
        <v/>
      </c>
      <c r="K476" s="43" t="inlineStr">
        <is>
          <t>Л5</t>
        </is>
      </c>
      <c r="L476" s="43" t="inlineStr">
        <is>
          <t>3.3.3.22.2</t>
        </is>
      </c>
      <c r="M476" s="44" t="inlineStr">
        <is>
          <t>Оборудование и приборы</t>
        </is>
      </c>
      <c r="N476" s="43" t="n"/>
      <c r="O476" s="9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  <c r="AA476" s="45" t="n"/>
      <c r="AB476" s="185" t="n"/>
      <c r="AC476" s="186" t="n"/>
      <c r="AD476" s="186" t="n"/>
      <c r="AE476" s="186" t="n"/>
      <c r="AF476" s="186" t="n"/>
      <c r="AG476" s="186" t="n"/>
      <c r="AH476" s="178" t="n"/>
    </row>
    <row r="477" outlineLevel="1">
      <c r="A477" s="18" t="inlineStr">
        <is>
          <t>О</t>
        </is>
      </c>
      <c r="B477" s="11">
        <f>IF($K477=B$8,1+IF(OFFSET(B477,-1,0)="",0,OFFSET(B477,-1,0)),IF(B$8&lt;$K477,IF(OFFSET(B477,-1,0)="","ERR",OFFSET(B477,-1,0)),""))</f>
        <v/>
      </c>
      <c r="C477" s="11">
        <f>IF($K477=C$8,1+IF(OFFSET(C477,-1,0)="",0,OFFSET(C477,-1,0)),IF(C$8&lt;$K477,IF(OFFSET(C477,-1,0)="","ERR",OFFSET(C477,-1,0)),""))</f>
        <v/>
      </c>
      <c r="D477" s="11">
        <f>IF($K477=D$8,1+IF(OFFSET(D477,-1,0)="",0,OFFSET(D477,-1,0)),IF(D$8&lt;$K477,IF(OFFSET(D477,-1,0)="","ERR",OFFSET(D477,-1,0)),""))</f>
        <v/>
      </c>
      <c r="E477" s="11">
        <f>IF($K477=E$8,1+IF(OFFSET(E477,-1,0)="",0,OFFSET(E477,-1,0)),IF(E$8&lt;$K477,IF(OFFSET(E477,-1,0)="","ERR",OFFSET(E477,-1,0)),""))</f>
        <v/>
      </c>
      <c r="F477" s="11">
        <f>IF($K477=F$8,1+IF(OFFSET(F477,-1,0)="",0,OFFSET(F477,-1,0)),IF(F$8&lt;$K477,IF(OFFSET(F477,-1,0)="","ERR",OFFSET(F477,-1,0)),""))</f>
        <v/>
      </c>
      <c r="G477" s="11">
        <f>IF($K477=G$8,1+IF(OFFSET(G477,-1,0)="",0,OFFSET(G477,-1,0)),IF(G$8&lt;$K477,IF(OFFSET(G477,-1,0)="","ERR",OFFSET(G477,-1,0)),""))</f>
        <v/>
      </c>
      <c r="H477" s="11">
        <f>IF($K477=H$8,1+IF(OFFSET(H477,-1,0)="",0,OFFSET(H477,-1,0)),IF(H$8&lt;$K477,IF(OFFSET(H477,-1,0)="","ERR",OFFSET(H477,-1,0)),""))</f>
        <v/>
      </c>
      <c r="I477" s="11">
        <f>IF($K477=I$8,1+IF(OFFSET(I477,-1,0)="",0,OFFSET(I477,-1,0)),IF(I$8&lt;$K477,IF(OFFSET(I477,-1,0)="","ERR",OFFSET(I477,-1,0)),""))</f>
        <v/>
      </c>
      <c r="J477" s="46">
        <f>_xlfn.TEXTJOIN(".",1,B477:I477)</f>
        <v/>
      </c>
      <c r="K477" s="46" t="inlineStr">
        <is>
          <t>Л6</t>
        </is>
      </c>
      <c r="L477" s="46" t="inlineStr">
        <is>
          <t>3.3.3.22.2.2</t>
        </is>
      </c>
      <c r="M477" s="47" t="inlineStr">
        <is>
          <t>Монтаж контроллера системы оповещения</t>
        </is>
      </c>
      <c r="N477" s="46" t="inlineStr">
        <is>
          <t>шт</t>
        </is>
      </c>
      <c r="O477" s="94">
        <f>P477+Q477+S477+V477</f>
        <v/>
      </c>
      <c r="P477" s="46" t="n"/>
      <c r="Q477" s="46" t="n">
        <v>1</v>
      </c>
      <c r="R477" s="46" t="n">
        <v>1</v>
      </c>
      <c r="S477" s="46" t="n">
        <v>1</v>
      </c>
      <c r="T477" s="46" t="n">
        <v>1</v>
      </c>
      <c r="U477" s="46" t="n">
        <v>2</v>
      </c>
      <c r="V477" s="46" t="n">
        <v>2</v>
      </c>
      <c r="W477" s="46" t="n"/>
      <c r="X477" s="46" t="n"/>
      <c r="Y477" s="46" t="n"/>
      <c r="Z477" s="46" t="n"/>
      <c r="AA477" s="48" t="n"/>
      <c r="AB477" s="187" t="n"/>
      <c r="AC477" s="180" t="n"/>
      <c r="AD477" s="189">
        <f>SUM(AB477:AC477)</f>
        <v/>
      </c>
      <c r="AE477" s="189">
        <f>AB477*$O477</f>
        <v/>
      </c>
      <c r="AF477" s="189">
        <f>AC477*$O477</f>
        <v/>
      </c>
      <c r="AG477" s="189">
        <f>SUM(AE477:AF477)</f>
        <v/>
      </c>
      <c r="AH477" s="182" t="n"/>
    </row>
    <row r="478" outlineLevel="1">
      <c r="A478" s="18" t="inlineStr">
        <is>
          <t>О</t>
        </is>
      </c>
      <c r="B478" s="11">
        <f>IF($K478=B$8,1+IF(OFFSET(B478,-1,0)="",0,OFFSET(B478,-1,0)),IF(B$8&lt;$K478,IF(OFFSET(B478,-1,0)="","ERR",OFFSET(B478,-1,0)),""))</f>
        <v/>
      </c>
      <c r="C478" s="11">
        <f>IF($K478=C$8,1+IF(OFFSET(C478,-1,0)="",0,OFFSET(C478,-1,0)),IF(C$8&lt;$K478,IF(OFFSET(C478,-1,0)="","ERR",OFFSET(C478,-1,0)),""))</f>
        <v/>
      </c>
      <c r="D478" s="11">
        <f>IF($K478=D$8,1+IF(OFFSET(D478,-1,0)="",0,OFFSET(D478,-1,0)),IF(D$8&lt;$K478,IF(OFFSET(D478,-1,0)="","ERR",OFFSET(D478,-1,0)),""))</f>
        <v/>
      </c>
      <c r="E478" s="11">
        <f>IF($K478=E$8,1+IF(OFFSET(E478,-1,0)="",0,OFFSET(E478,-1,0)),IF(E$8&lt;$K478,IF(OFFSET(E478,-1,0)="","ERR",OFFSET(E478,-1,0)),""))</f>
        <v/>
      </c>
      <c r="F478" s="11">
        <f>IF($K478=F$8,1+IF(OFFSET(F478,-1,0)="",0,OFFSET(F478,-1,0)),IF(F$8&lt;$K478,IF(OFFSET(F478,-1,0)="","ERR",OFFSET(F478,-1,0)),""))</f>
        <v/>
      </c>
      <c r="G478" s="11">
        <f>IF($K478=G$8,1+IF(OFFSET(G478,-1,0)="",0,OFFSET(G478,-1,0)),IF(G$8&lt;$K478,IF(OFFSET(G478,-1,0)="","ERR",OFFSET(G478,-1,0)),""))</f>
        <v/>
      </c>
      <c r="H478" s="11">
        <f>IF($K478=H$8,1+IF(OFFSET(H478,-1,0)="",0,OFFSET(H478,-1,0)),IF(H$8&lt;$K478,IF(OFFSET(H478,-1,0)="","ERR",OFFSET(H478,-1,0)),""))</f>
        <v/>
      </c>
      <c r="I478" s="11">
        <f>IF($K478=I$8,1+IF(OFFSET(I478,-1,0)="",0,OFFSET(I478,-1,0)),IF(I$8&lt;$K478,IF(OFFSET(I478,-1,0)="","ERR",OFFSET(I478,-1,0)),""))</f>
        <v/>
      </c>
      <c r="J478" s="49">
        <f>_xlfn.TEXTJOIN(".",1,B478:I478)</f>
        <v/>
      </c>
      <c r="K478" s="49" t="inlineStr">
        <is>
          <t>Л7</t>
        </is>
      </c>
      <c r="L478" s="49" t="n"/>
      <c r="M478" s="63" t="inlineStr">
        <is>
          <t>Контроллер системы оповещения, LPA-Presta-16, «LPA»</t>
        </is>
      </c>
      <c r="N478" s="49" t="inlineStr">
        <is>
          <t>шт.</t>
        </is>
      </c>
      <c r="O478" s="50">
        <f>P478+Q478+S478+V478</f>
        <v/>
      </c>
      <c r="P478" s="49" t="n"/>
      <c r="Q478" s="49" t="n">
        <v>1</v>
      </c>
      <c r="R478" s="49" t="n">
        <v>1</v>
      </c>
      <c r="S478" s="49" t="n">
        <v>1</v>
      </c>
      <c r="T478" s="49" t="n">
        <v>1</v>
      </c>
      <c r="U478" s="49" t="n">
        <v>2</v>
      </c>
      <c r="V478" s="49" t="n">
        <v>2</v>
      </c>
      <c r="W478" s="50" t="n">
        <v>1</v>
      </c>
      <c r="X478" s="26" t="n">
        <v>5040070405</v>
      </c>
      <c r="Y478" s="26" t="n">
        <v>772201001</v>
      </c>
      <c r="Z478" s="26" t="inlineStr">
        <is>
          <t>ООО "ЛУИС+"</t>
        </is>
      </c>
      <c r="AA478" s="51" t="inlineStr">
        <is>
          <t>ГТ</t>
        </is>
      </c>
      <c r="AB478" s="188" t="n"/>
      <c r="AC478" s="189" t="n"/>
      <c r="AD478" s="190">
        <f>SUM(AB478:AC478)</f>
        <v/>
      </c>
      <c r="AE478" s="190">
        <f>AB478*$O478*$W478</f>
        <v/>
      </c>
      <c r="AF478" s="190">
        <f>AC478*$O478*$W478</f>
        <v/>
      </c>
      <c r="AG478" s="190">
        <f>SUM(AE478:AF478)</f>
        <v/>
      </c>
      <c r="AH478" s="182" t="n"/>
    </row>
    <row r="479" outlineLevel="1">
      <c r="A479" s="18" t="inlineStr">
        <is>
          <t>О</t>
        </is>
      </c>
      <c r="B479" s="11">
        <f>IF($K479=B$8,1+IF(OFFSET(B479,-1,0)="",0,OFFSET(B479,-1,0)),IF(B$8&lt;$K479,IF(OFFSET(B479,-1,0)="","ERR",OFFSET(B479,-1,0)),""))</f>
        <v/>
      </c>
      <c r="C479" s="11">
        <f>IF($K479=C$8,1+IF(OFFSET(C479,-1,0)="",0,OFFSET(C479,-1,0)),IF(C$8&lt;$K479,IF(OFFSET(C479,-1,0)="","ERR",OFFSET(C479,-1,0)),""))</f>
        <v/>
      </c>
      <c r="D479" s="11">
        <f>IF($K479=D$8,1+IF(OFFSET(D479,-1,0)="",0,OFFSET(D479,-1,0)),IF(D$8&lt;$K479,IF(OFFSET(D479,-1,0)="","ERR",OFFSET(D479,-1,0)),""))</f>
        <v/>
      </c>
      <c r="E479" s="11">
        <f>IF($K479=E$8,1+IF(OFFSET(E479,-1,0)="",0,OFFSET(E479,-1,0)),IF(E$8&lt;$K479,IF(OFFSET(E479,-1,0)="","ERR",OFFSET(E479,-1,0)),""))</f>
        <v/>
      </c>
      <c r="F479" s="11">
        <f>IF($K479=F$8,1+IF(OFFSET(F479,-1,0)="",0,OFFSET(F479,-1,0)),IF(F$8&lt;$K479,IF(OFFSET(F479,-1,0)="","ERR",OFFSET(F479,-1,0)),""))</f>
        <v/>
      </c>
      <c r="G479" s="11">
        <f>IF($K479=G$8,1+IF(OFFSET(G479,-1,0)="",0,OFFSET(G479,-1,0)),IF(G$8&lt;$K479,IF(OFFSET(G479,-1,0)="","ERR",OFFSET(G479,-1,0)),""))</f>
        <v/>
      </c>
      <c r="H479" s="11">
        <f>IF($K479=H$8,1+IF(OFFSET(H479,-1,0)="",0,OFFSET(H479,-1,0)),IF(H$8&lt;$K479,IF(OFFSET(H479,-1,0)="","ERR",OFFSET(H479,-1,0)),""))</f>
        <v/>
      </c>
      <c r="I479" s="11">
        <f>IF($K479=I$8,1+IF(OFFSET(I479,-1,0)="",0,OFFSET(I479,-1,0)),IF(I$8&lt;$K479,IF(OFFSET(I479,-1,0)="","ERR",OFFSET(I479,-1,0)),""))</f>
        <v/>
      </c>
      <c r="J479" s="46">
        <f>_xlfn.TEXTJOIN(".",1,B479:I479)</f>
        <v/>
      </c>
      <c r="K479" s="46" t="inlineStr">
        <is>
          <t>Л7</t>
        </is>
      </c>
      <c r="L479" s="46" t="n"/>
      <c r="M479" s="64" t="inlineStr">
        <is>
          <t>Сопутствующие и прочие материалы*</t>
        </is>
      </c>
      <c r="N479" s="46" t="inlineStr">
        <is>
          <t>шт</t>
        </is>
      </c>
      <c r="O479" s="94">
        <f>P479+Q479+S479+V479</f>
        <v/>
      </c>
      <c r="P479" s="46" t="n"/>
      <c r="Q479" s="46" t="n">
        <v>1</v>
      </c>
      <c r="R479" s="46" t="n">
        <v>1</v>
      </c>
      <c r="S479" s="46" t="n">
        <v>1</v>
      </c>
      <c r="T479" s="46" t="n">
        <v>1</v>
      </c>
      <c r="U479" s="46" t="n">
        <v>2</v>
      </c>
      <c r="V479" s="46" t="n">
        <v>2</v>
      </c>
      <c r="W479" s="46" t="n"/>
      <c r="X479" s="46" t="n"/>
      <c r="Y479" s="46" t="n"/>
      <c r="Z479" s="46" t="n"/>
      <c r="AA479" s="48" t="n"/>
      <c r="AB479" s="179" t="n"/>
      <c r="AC479" s="189" t="n"/>
      <c r="AD479" s="189">
        <f>SUM(AB479:AC479)</f>
        <v/>
      </c>
      <c r="AE479" s="189">
        <f>AB479*$O479</f>
        <v/>
      </c>
      <c r="AF479" s="189">
        <f>AC479*$O479</f>
        <v/>
      </c>
      <c r="AG479" s="189">
        <f>SUM(AE479:AF479)</f>
        <v/>
      </c>
      <c r="AH479" s="182" t="n"/>
    </row>
    <row r="480" outlineLevel="1">
      <c r="A480" s="18" t="inlineStr">
        <is>
          <t>О</t>
        </is>
      </c>
      <c r="B480" s="11">
        <f>IF($K480=B$8,1+IF(OFFSET(B480,-1,0)="",0,OFFSET(B480,-1,0)),IF(B$8&lt;$K480,IF(OFFSET(B480,-1,0)="","ERR",OFFSET(B480,-1,0)),""))</f>
        <v/>
      </c>
      <c r="C480" s="11">
        <f>IF($K480=C$8,1+IF(OFFSET(C480,-1,0)="",0,OFFSET(C480,-1,0)),IF(C$8&lt;$K480,IF(OFFSET(C480,-1,0)="","ERR",OFFSET(C480,-1,0)),""))</f>
        <v/>
      </c>
      <c r="D480" s="11">
        <f>IF($K480=D$8,1+IF(OFFSET(D480,-1,0)="",0,OFFSET(D480,-1,0)),IF(D$8&lt;$K480,IF(OFFSET(D480,-1,0)="","ERR",OFFSET(D480,-1,0)),""))</f>
        <v/>
      </c>
      <c r="E480" s="11">
        <f>IF($K480=E$8,1+IF(OFFSET(E480,-1,0)="",0,OFFSET(E480,-1,0)),IF(E$8&lt;$K480,IF(OFFSET(E480,-1,0)="","ERR",OFFSET(E480,-1,0)),""))</f>
        <v/>
      </c>
      <c r="F480" s="11">
        <f>IF($K480=F$8,1+IF(OFFSET(F480,-1,0)="",0,OFFSET(F480,-1,0)),IF(F$8&lt;$K480,IF(OFFSET(F480,-1,0)="","ERR",OFFSET(F480,-1,0)),""))</f>
        <v/>
      </c>
      <c r="G480" s="11">
        <f>IF($K480=G$8,1+IF(OFFSET(G480,-1,0)="",0,OFFSET(G480,-1,0)),IF(G$8&lt;$K480,IF(OFFSET(G480,-1,0)="","ERR",OFFSET(G480,-1,0)),""))</f>
        <v/>
      </c>
      <c r="H480" s="11">
        <f>IF($K480=H$8,1+IF(OFFSET(H480,-1,0)="",0,OFFSET(H480,-1,0)),IF(H$8&lt;$K480,IF(OFFSET(H480,-1,0)="","ERR",OFFSET(H480,-1,0)),""))</f>
        <v/>
      </c>
      <c r="I480" s="11">
        <f>IF($K480=I$8,1+IF(OFFSET(I480,-1,0)="",0,OFFSET(I480,-1,0)),IF(I$8&lt;$K480,IF(OFFSET(I480,-1,0)="","ERR",OFFSET(I480,-1,0)),""))</f>
        <v/>
      </c>
      <c r="J480" s="46">
        <f>_xlfn.TEXTJOIN(".",1,B480:I480)</f>
        <v/>
      </c>
      <c r="K480" s="46" t="inlineStr">
        <is>
          <t>Л6</t>
        </is>
      </c>
      <c r="L480" s="46" t="inlineStr">
        <is>
          <t>3.3.3.22.2.4</t>
        </is>
      </c>
      <c r="M480" s="47" t="inlineStr">
        <is>
          <t>Монтаж микрофона</t>
        </is>
      </c>
      <c r="N480" s="46" t="inlineStr">
        <is>
          <t>шт</t>
        </is>
      </c>
      <c r="O480" s="94">
        <f>P480+Q480+S480+V480</f>
        <v/>
      </c>
      <c r="P480" s="46" t="n"/>
      <c r="Q480" s="46" t="n">
        <v>1</v>
      </c>
      <c r="R480" s="46" t="n">
        <v>1</v>
      </c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8" t="n"/>
      <c r="AB480" s="187" t="n"/>
      <c r="AC480" s="180" t="n"/>
      <c r="AD480" s="189">
        <f>SUM(AB480:AC480)</f>
        <v/>
      </c>
      <c r="AE480" s="189">
        <f>AB480*$O480</f>
        <v/>
      </c>
      <c r="AF480" s="189">
        <f>AC480*$O480</f>
        <v/>
      </c>
      <c r="AG480" s="189">
        <f>SUM(AE480:AF480)</f>
        <v/>
      </c>
      <c r="AH480" s="182" t="n"/>
    </row>
    <row r="481" outlineLevel="1">
      <c r="A481" s="18" t="inlineStr">
        <is>
          <t>О</t>
        </is>
      </c>
      <c r="B481" s="11">
        <f>IF($K481=B$8,1+IF(OFFSET(B481,-1,0)="",0,OFFSET(B481,-1,0)),IF(B$8&lt;$K481,IF(OFFSET(B481,-1,0)="","ERR",OFFSET(B481,-1,0)),""))</f>
        <v/>
      </c>
      <c r="C481" s="11">
        <f>IF($K481=C$8,1+IF(OFFSET(C481,-1,0)="",0,OFFSET(C481,-1,0)),IF(C$8&lt;$K481,IF(OFFSET(C481,-1,0)="","ERR",OFFSET(C481,-1,0)),""))</f>
        <v/>
      </c>
      <c r="D481" s="11">
        <f>IF($K481=D$8,1+IF(OFFSET(D481,-1,0)="",0,OFFSET(D481,-1,0)),IF(D$8&lt;$K481,IF(OFFSET(D481,-1,0)="","ERR",OFFSET(D481,-1,0)),""))</f>
        <v/>
      </c>
      <c r="E481" s="11">
        <f>IF($K481=E$8,1+IF(OFFSET(E481,-1,0)="",0,OFFSET(E481,-1,0)),IF(E$8&lt;$K481,IF(OFFSET(E481,-1,0)="","ERR",OFFSET(E481,-1,0)),""))</f>
        <v/>
      </c>
      <c r="F481" s="11">
        <f>IF($K481=F$8,1+IF(OFFSET(F481,-1,0)="",0,OFFSET(F481,-1,0)),IF(F$8&lt;$K481,IF(OFFSET(F481,-1,0)="","ERR",OFFSET(F481,-1,0)),""))</f>
        <v/>
      </c>
      <c r="G481" s="11">
        <f>IF($K481=G$8,1+IF(OFFSET(G481,-1,0)="",0,OFFSET(G481,-1,0)),IF(G$8&lt;$K481,IF(OFFSET(G481,-1,0)="","ERR",OFFSET(G481,-1,0)),""))</f>
        <v/>
      </c>
      <c r="H481" s="11">
        <f>IF($K481=H$8,1+IF(OFFSET(H481,-1,0)="",0,OFFSET(H481,-1,0)),IF(H$8&lt;$K481,IF(OFFSET(H481,-1,0)="","ERR",OFFSET(H481,-1,0)),""))</f>
        <v/>
      </c>
      <c r="I481" s="11">
        <f>IF($K481=I$8,1+IF(OFFSET(I481,-1,0)="",0,OFFSET(I481,-1,0)),IF(I$8&lt;$K481,IF(OFFSET(I481,-1,0)="","ERR",OFFSET(I481,-1,0)),""))</f>
        <v/>
      </c>
      <c r="J481" s="49">
        <f>_xlfn.TEXTJOIN(".",1,B481:I481)</f>
        <v/>
      </c>
      <c r="K481" s="49" t="inlineStr">
        <is>
          <t>Л7</t>
        </is>
      </c>
      <c r="L481" s="49" t="n"/>
      <c r="M481" s="63" t="inlineStr">
        <is>
          <t>Удаленная микрофонная консоль, LPA-DUO-MIC, "LPA"</t>
        </is>
      </c>
      <c r="N481" s="49" t="inlineStr">
        <is>
          <t>шт.</t>
        </is>
      </c>
      <c r="O481" s="50">
        <f>P481+Q481+S481+V481</f>
        <v/>
      </c>
      <c r="P481" s="49" t="n"/>
      <c r="Q481" s="49" t="n">
        <v>1</v>
      </c>
      <c r="R481" s="49" t="n">
        <v>1</v>
      </c>
      <c r="S481" s="49" t="n"/>
      <c r="T481" s="49" t="n"/>
      <c r="U481" s="49" t="n"/>
      <c r="V481" s="49" t="n"/>
      <c r="W481" s="50" t="n">
        <v>1</v>
      </c>
      <c r="X481" s="26" t="n">
        <v>5040070405</v>
      </c>
      <c r="Y481" s="26" t="n">
        <v>772201001</v>
      </c>
      <c r="Z481" s="26" t="inlineStr">
        <is>
          <t>ООО "ЛУИС+"</t>
        </is>
      </c>
      <c r="AA481" s="51" t="inlineStr">
        <is>
          <t>ГТ</t>
        </is>
      </c>
      <c r="AB481" s="188" t="n"/>
      <c r="AC481" s="189" t="n"/>
      <c r="AD481" s="190">
        <f>SUM(AB481:AC481)</f>
        <v/>
      </c>
      <c r="AE481" s="190">
        <f>AB481*$O481*$W481</f>
        <v/>
      </c>
      <c r="AF481" s="190">
        <f>AC481*$O481*$W481</f>
        <v/>
      </c>
      <c r="AG481" s="190">
        <f>SUM(AE481:AF481)</f>
        <v/>
      </c>
      <c r="AH481" s="182" t="n"/>
    </row>
    <row r="482" outlineLevel="1">
      <c r="A482" s="18" t="inlineStr">
        <is>
          <t>О</t>
        </is>
      </c>
      <c r="B482" s="11">
        <f>IF($K482=B$8,1+IF(OFFSET(B482,-1,0)="",0,OFFSET(B482,-1,0)),IF(B$8&lt;$K482,IF(OFFSET(B482,-1,0)="","ERR",OFFSET(B482,-1,0)),""))</f>
        <v/>
      </c>
      <c r="C482" s="11">
        <f>IF($K482=C$8,1+IF(OFFSET(C482,-1,0)="",0,OFFSET(C482,-1,0)),IF(C$8&lt;$K482,IF(OFFSET(C482,-1,0)="","ERR",OFFSET(C482,-1,0)),""))</f>
        <v/>
      </c>
      <c r="D482" s="11">
        <f>IF($K482=D$8,1+IF(OFFSET(D482,-1,0)="",0,OFFSET(D482,-1,0)),IF(D$8&lt;$K482,IF(OFFSET(D482,-1,0)="","ERR",OFFSET(D482,-1,0)),""))</f>
        <v/>
      </c>
      <c r="E482" s="11">
        <f>IF($K482=E$8,1+IF(OFFSET(E482,-1,0)="",0,OFFSET(E482,-1,0)),IF(E$8&lt;$K482,IF(OFFSET(E482,-1,0)="","ERR",OFFSET(E482,-1,0)),""))</f>
        <v/>
      </c>
      <c r="F482" s="11">
        <f>IF($K482=F$8,1+IF(OFFSET(F482,-1,0)="",0,OFFSET(F482,-1,0)),IF(F$8&lt;$K482,IF(OFFSET(F482,-1,0)="","ERR",OFFSET(F482,-1,0)),""))</f>
        <v/>
      </c>
      <c r="G482" s="11">
        <f>IF($K482=G$8,1+IF(OFFSET(G482,-1,0)="",0,OFFSET(G482,-1,0)),IF(G$8&lt;$K482,IF(OFFSET(G482,-1,0)="","ERR",OFFSET(G482,-1,0)),""))</f>
        <v/>
      </c>
      <c r="H482" s="11">
        <f>IF($K482=H$8,1+IF(OFFSET(H482,-1,0)="",0,OFFSET(H482,-1,0)),IF(H$8&lt;$K482,IF(OFFSET(H482,-1,0)="","ERR",OFFSET(H482,-1,0)),""))</f>
        <v/>
      </c>
      <c r="I482" s="11">
        <f>IF($K482=I$8,1+IF(OFFSET(I482,-1,0)="",0,OFFSET(I482,-1,0)),IF(I$8&lt;$K482,IF(OFFSET(I482,-1,0)="","ERR",OFFSET(I482,-1,0)),""))</f>
        <v/>
      </c>
      <c r="J482" s="46">
        <f>_xlfn.TEXTJOIN(".",1,B482:I482)</f>
        <v/>
      </c>
      <c r="K482" s="46" t="inlineStr">
        <is>
          <t>Л7</t>
        </is>
      </c>
      <c r="L482" s="46" t="n"/>
      <c r="M482" s="64" t="inlineStr">
        <is>
          <t>Сопутствующие и прочие материалы*</t>
        </is>
      </c>
      <c r="N482" s="46" t="inlineStr">
        <is>
          <t>шт</t>
        </is>
      </c>
      <c r="O482" s="94">
        <f>P482+Q482+S482+V482</f>
        <v/>
      </c>
      <c r="P482" s="46" t="n"/>
      <c r="Q482" s="46" t="n">
        <v>1</v>
      </c>
      <c r="R482" s="46" t="n">
        <v>1</v>
      </c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8" t="n"/>
      <c r="AB482" s="179" t="n"/>
      <c r="AC482" s="189" t="n"/>
      <c r="AD482" s="189">
        <f>SUM(AB482:AC482)</f>
        <v/>
      </c>
      <c r="AE482" s="189">
        <f>AB482*$O482</f>
        <v/>
      </c>
      <c r="AF482" s="189">
        <f>AC482*$O482</f>
        <v/>
      </c>
      <c r="AG482" s="189">
        <f>SUM(AE482:AF482)</f>
        <v/>
      </c>
      <c r="AH482" s="182" t="n"/>
    </row>
    <row r="483" outlineLevel="1">
      <c r="A483" s="18" t="inlineStr">
        <is>
          <t>О</t>
        </is>
      </c>
      <c r="B483" s="11">
        <f>IF($K483=B$8,1+IF(OFFSET(B483,-1,0)="",0,OFFSET(B483,-1,0)),IF(B$8&lt;$K483,IF(OFFSET(B483,-1,0)="","ERR",OFFSET(B483,-1,0)),""))</f>
        <v/>
      </c>
      <c r="C483" s="11">
        <f>IF($K483=C$8,1+IF(OFFSET(C483,-1,0)="",0,OFFSET(C483,-1,0)),IF(C$8&lt;$K483,IF(OFFSET(C483,-1,0)="","ERR",OFFSET(C483,-1,0)),""))</f>
        <v/>
      </c>
      <c r="D483" s="11">
        <f>IF($K483=D$8,1+IF(OFFSET(D483,-1,0)="",0,OFFSET(D483,-1,0)),IF(D$8&lt;$K483,IF(OFFSET(D483,-1,0)="","ERR",OFFSET(D483,-1,0)),""))</f>
        <v/>
      </c>
      <c r="E483" s="11">
        <f>IF($K483=E$8,1+IF(OFFSET(E483,-1,0)="",0,OFFSET(E483,-1,0)),IF(E$8&lt;$K483,IF(OFFSET(E483,-1,0)="","ERR",OFFSET(E483,-1,0)),""))</f>
        <v/>
      </c>
      <c r="F483" s="11">
        <f>IF($K483=F$8,1+IF(OFFSET(F483,-1,0)="",0,OFFSET(F483,-1,0)),IF(F$8&lt;$K483,IF(OFFSET(F483,-1,0)="","ERR",OFFSET(F483,-1,0)),""))</f>
        <v/>
      </c>
      <c r="G483" s="11">
        <f>IF($K483=G$8,1+IF(OFFSET(G483,-1,0)="",0,OFFSET(G483,-1,0)),IF(G$8&lt;$K483,IF(OFFSET(G483,-1,0)="","ERR",OFFSET(G483,-1,0)),""))</f>
        <v/>
      </c>
      <c r="H483" s="11">
        <f>IF($K483=H$8,1+IF(OFFSET(H483,-1,0)="",0,OFFSET(H483,-1,0)),IF(H$8&lt;$K483,IF(OFFSET(H483,-1,0)="","ERR",OFFSET(H483,-1,0)),""))</f>
        <v/>
      </c>
      <c r="I483" s="11">
        <f>IF($K483=I$8,1+IF(OFFSET(I483,-1,0)="",0,OFFSET(I483,-1,0)),IF(I$8&lt;$K483,IF(OFFSET(I483,-1,0)="","ERR",OFFSET(I483,-1,0)),""))</f>
        <v/>
      </c>
      <c r="J483" s="46">
        <f>_xlfn.TEXTJOIN(".",1,B483:I483)</f>
        <v/>
      </c>
      <c r="K483" s="46" t="inlineStr">
        <is>
          <t>Л6</t>
        </is>
      </c>
      <c r="L483" s="46" t="inlineStr">
        <is>
          <t>3.3.3.22.2.8</t>
        </is>
      </c>
      <c r="M483" s="47" t="inlineStr">
        <is>
          <t>Монтаж модуля адресного релейного</t>
        </is>
      </c>
      <c r="N483" s="46" t="inlineStr">
        <is>
          <t>шт</t>
        </is>
      </c>
      <c r="O483" s="94">
        <f>P483+Q483+S483+V483</f>
        <v/>
      </c>
      <c r="P483" s="46" t="n"/>
      <c r="Q483" s="46" t="n">
        <v>4</v>
      </c>
      <c r="R483" s="46" t="n">
        <v>4</v>
      </c>
      <c r="S483" s="46" t="n">
        <v>4</v>
      </c>
      <c r="T483" s="46" t="n">
        <v>4</v>
      </c>
      <c r="U483" s="46" t="n">
        <v>6</v>
      </c>
      <c r="V483" s="46" t="n">
        <v>6</v>
      </c>
      <c r="W483" s="46" t="n"/>
      <c r="X483" s="46" t="n"/>
      <c r="Y483" s="46" t="n"/>
      <c r="Z483" s="46" t="n"/>
      <c r="AA483" s="48" t="n"/>
      <c r="AB483" s="187" t="n"/>
      <c r="AC483" s="180" t="n"/>
      <c r="AD483" s="189">
        <f>SUM(AB483:AC483)</f>
        <v/>
      </c>
      <c r="AE483" s="189">
        <f>AB483*$O483</f>
        <v/>
      </c>
      <c r="AF483" s="189">
        <f>AC483*$O483</f>
        <v/>
      </c>
      <c r="AG483" s="189">
        <f>SUM(AE483:AF483)</f>
        <v/>
      </c>
      <c r="AH483" s="182" t="n"/>
    </row>
    <row r="484" outlineLevel="1">
      <c r="A484" s="18" t="inlineStr">
        <is>
          <t>О</t>
        </is>
      </c>
      <c r="B484" s="11">
        <f>IF($K484=B$8,1+IF(OFFSET(B484,-1,0)="",0,OFFSET(B484,-1,0)),IF(B$8&lt;$K484,IF(OFFSET(B484,-1,0)="","ERR",OFFSET(B484,-1,0)),""))</f>
        <v/>
      </c>
      <c r="C484" s="11">
        <f>IF($K484=C$8,1+IF(OFFSET(C484,-1,0)="",0,OFFSET(C484,-1,0)),IF(C$8&lt;$K484,IF(OFFSET(C484,-1,0)="","ERR",OFFSET(C484,-1,0)),""))</f>
        <v/>
      </c>
      <c r="D484" s="11">
        <f>IF($K484=D$8,1+IF(OFFSET(D484,-1,0)="",0,OFFSET(D484,-1,0)),IF(D$8&lt;$K484,IF(OFFSET(D484,-1,0)="","ERR",OFFSET(D484,-1,0)),""))</f>
        <v/>
      </c>
      <c r="E484" s="11">
        <f>IF($K484=E$8,1+IF(OFFSET(E484,-1,0)="",0,OFFSET(E484,-1,0)),IF(E$8&lt;$K484,IF(OFFSET(E484,-1,0)="","ERR",OFFSET(E484,-1,0)),""))</f>
        <v/>
      </c>
      <c r="F484" s="11">
        <f>IF($K484=F$8,1+IF(OFFSET(F484,-1,0)="",0,OFFSET(F484,-1,0)),IF(F$8&lt;$K484,IF(OFFSET(F484,-1,0)="","ERR",OFFSET(F484,-1,0)),""))</f>
        <v/>
      </c>
      <c r="G484" s="11">
        <f>IF($K484=G$8,1+IF(OFFSET(G484,-1,0)="",0,OFFSET(G484,-1,0)),IF(G$8&lt;$K484,IF(OFFSET(G484,-1,0)="","ERR",OFFSET(G484,-1,0)),""))</f>
        <v/>
      </c>
      <c r="H484" s="11">
        <f>IF($K484=H$8,1+IF(OFFSET(H484,-1,0)="",0,OFFSET(H484,-1,0)),IF(H$8&lt;$K484,IF(OFFSET(H484,-1,0)="","ERR",OFFSET(H484,-1,0)),""))</f>
        <v/>
      </c>
      <c r="I484" s="11">
        <f>IF($K484=I$8,1+IF(OFFSET(I484,-1,0)="",0,OFFSET(I484,-1,0)),IF(I$8&lt;$K484,IF(OFFSET(I484,-1,0)="","ERR",OFFSET(I484,-1,0)),""))</f>
        <v/>
      </c>
      <c r="J484" s="49">
        <f>_xlfn.TEXTJOIN(".",1,B484:I484)</f>
        <v/>
      </c>
      <c r="K484" s="49" t="inlineStr">
        <is>
          <t>Л7</t>
        </is>
      </c>
      <c r="L484" s="49" t="n"/>
      <c r="M484" s="63" t="inlineStr">
        <is>
          <t>Релейный модуль, РМ-4К-ИКЗ-R3, РУБЕЖ</t>
        </is>
      </c>
      <c r="N484" s="49" t="inlineStr">
        <is>
          <t>шт.</t>
        </is>
      </c>
      <c r="O484" s="50">
        <f>P484+Q484+S484+V484</f>
        <v/>
      </c>
      <c r="P484" s="49" t="n"/>
      <c r="Q484" s="49" t="n">
        <v>4</v>
      </c>
      <c r="R484" s="49" t="n">
        <v>4</v>
      </c>
      <c r="S484" s="49" t="n">
        <v>4</v>
      </c>
      <c r="T484" s="49" t="n">
        <v>4</v>
      </c>
      <c r="U484" s="49" t="n">
        <v>6</v>
      </c>
      <c r="V484" s="49" t="n">
        <v>6</v>
      </c>
      <c r="W484" s="50" t="n">
        <v>1</v>
      </c>
      <c r="X484" s="26" t="n">
        <v>1659174829</v>
      </c>
      <c r="Y484" s="26" t="n">
        <v>165901001</v>
      </c>
      <c r="Z484" s="26" t="inlineStr">
        <is>
          <t xml:space="preserve"> "ТК "РУТЕК"</t>
        </is>
      </c>
      <c r="AA484" s="51" t="inlineStr">
        <is>
          <t>ГТ</t>
        </is>
      </c>
      <c r="AB484" s="188" t="n"/>
      <c r="AC484" s="189" t="n"/>
      <c r="AD484" s="190">
        <f>SUM(AB484:AC484)</f>
        <v/>
      </c>
      <c r="AE484" s="190">
        <f>AB484*$O484*$W484</f>
        <v/>
      </c>
      <c r="AF484" s="190">
        <f>AC484*$O484*$W484</f>
        <v/>
      </c>
      <c r="AG484" s="190">
        <f>SUM(AE484:AF484)</f>
        <v/>
      </c>
      <c r="AH484" s="182" t="n"/>
    </row>
    <row r="485" outlineLevel="1">
      <c r="A485" s="18" t="inlineStr">
        <is>
          <t>О</t>
        </is>
      </c>
      <c r="B485" s="11">
        <f>IF($K485=B$8,1+IF(OFFSET(B485,-1,0)="",0,OFFSET(B485,-1,0)),IF(B$8&lt;$K485,IF(OFFSET(B485,-1,0)="","ERR",OFFSET(B485,-1,0)),""))</f>
        <v/>
      </c>
      <c r="C485" s="11">
        <f>IF($K485=C$8,1+IF(OFFSET(C485,-1,0)="",0,OFFSET(C485,-1,0)),IF(C$8&lt;$K485,IF(OFFSET(C485,-1,0)="","ERR",OFFSET(C485,-1,0)),""))</f>
        <v/>
      </c>
      <c r="D485" s="11">
        <f>IF($K485=D$8,1+IF(OFFSET(D485,-1,0)="",0,OFFSET(D485,-1,0)),IF(D$8&lt;$K485,IF(OFFSET(D485,-1,0)="","ERR",OFFSET(D485,-1,0)),""))</f>
        <v/>
      </c>
      <c r="E485" s="11">
        <f>IF($K485=E$8,1+IF(OFFSET(E485,-1,0)="",0,OFFSET(E485,-1,0)),IF(E$8&lt;$K485,IF(OFFSET(E485,-1,0)="","ERR",OFFSET(E485,-1,0)),""))</f>
        <v/>
      </c>
      <c r="F485" s="11">
        <f>IF($K485=F$8,1+IF(OFFSET(F485,-1,0)="",0,OFFSET(F485,-1,0)),IF(F$8&lt;$K485,IF(OFFSET(F485,-1,0)="","ERR",OFFSET(F485,-1,0)),""))</f>
        <v/>
      </c>
      <c r="G485" s="11">
        <f>IF($K485=G$8,1+IF(OFFSET(G485,-1,0)="",0,OFFSET(G485,-1,0)),IF(G$8&lt;$K485,IF(OFFSET(G485,-1,0)="","ERR",OFFSET(G485,-1,0)),""))</f>
        <v/>
      </c>
      <c r="H485" s="11">
        <f>IF($K485=H$8,1+IF(OFFSET(H485,-1,0)="",0,OFFSET(H485,-1,0)),IF(H$8&lt;$K485,IF(OFFSET(H485,-1,0)="","ERR",OFFSET(H485,-1,0)),""))</f>
        <v/>
      </c>
      <c r="I485" s="11">
        <f>IF($K485=I$8,1+IF(OFFSET(I485,-1,0)="",0,OFFSET(I485,-1,0)),IF(I$8&lt;$K485,IF(OFFSET(I485,-1,0)="","ERR",OFFSET(I485,-1,0)),""))</f>
        <v/>
      </c>
      <c r="J485" s="46">
        <f>_xlfn.TEXTJOIN(".",1,B485:I485)</f>
        <v/>
      </c>
      <c r="K485" s="46" t="inlineStr">
        <is>
          <t>Л7</t>
        </is>
      </c>
      <c r="L485" s="46" t="n"/>
      <c r="M485" s="64" t="inlineStr">
        <is>
          <t>Сопутствующие и прочие материалы*</t>
        </is>
      </c>
      <c r="N485" s="46" t="inlineStr">
        <is>
          <t>шт</t>
        </is>
      </c>
      <c r="O485" s="94">
        <f>P485+Q485+S485+V485</f>
        <v/>
      </c>
      <c r="P485" s="46" t="n"/>
      <c r="Q485" s="46" t="n">
        <v>4</v>
      </c>
      <c r="R485" s="46" t="n">
        <v>4</v>
      </c>
      <c r="S485" s="46" t="n">
        <v>4</v>
      </c>
      <c r="T485" s="46" t="n">
        <v>4</v>
      </c>
      <c r="U485" s="46" t="n">
        <v>6</v>
      </c>
      <c r="V485" s="46" t="n">
        <v>6</v>
      </c>
      <c r="W485" s="46" t="n"/>
      <c r="X485" s="46" t="n"/>
      <c r="Y485" s="46" t="n"/>
      <c r="Z485" s="46" t="n"/>
      <c r="AA485" s="48" t="n"/>
      <c r="AB485" s="179" t="n"/>
      <c r="AC485" s="189" t="n"/>
      <c r="AD485" s="189">
        <f>SUM(AB485:AC485)</f>
        <v/>
      </c>
      <c r="AE485" s="189">
        <f>AB485*$O485</f>
        <v/>
      </c>
      <c r="AF485" s="189">
        <f>AC485*$O485</f>
        <v/>
      </c>
      <c r="AG485" s="189">
        <f>SUM(AE485:AF485)</f>
        <v/>
      </c>
      <c r="AH485" s="182" t="n"/>
    </row>
    <row r="486" outlineLevel="1">
      <c r="A486" s="18" t="inlineStr">
        <is>
          <t>О</t>
        </is>
      </c>
      <c r="B486" s="11">
        <f>IF($K486=B$8,1+IF(OFFSET(B486,-1,0)="",0,OFFSET(B486,-1,0)),IF(B$8&lt;$K486,IF(OFFSET(B486,-1,0)="","ERR",OFFSET(B486,-1,0)),""))</f>
        <v/>
      </c>
      <c r="C486" s="11">
        <f>IF($K486=C$8,1+IF(OFFSET(C486,-1,0)="",0,OFFSET(C486,-1,0)),IF(C$8&lt;$K486,IF(OFFSET(C486,-1,0)="","ERR",OFFSET(C486,-1,0)),""))</f>
        <v/>
      </c>
      <c r="D486" s="11">
        <f>IF($K486=D$8,1+IF(OFFSET(D486,-1,0)="",0,OFFSET(D486,-1,0)),IF(D$8&lt;$K486,IF(OFFSET(D486,-1,0)="","ERR",OFFSET(D486,-1,0)),""))</f>
        <v/>
      </c>
      <c r="E486" s="11">
        <f>IF($K486=E$8,1+IF(OFFSET(E486,-1,0)="",0,OFFSET(E486,-1,0)),IF(E$8&lt;$K486,IF(OFFSET(E486,-1,0)="","ERR",OFFSET(E486,-1,0)),""))</f>
        <v/>
      </c>
      <c r="F486" s="11">
        <f>IF($K486=F$8,1+IF(OFFSET(F486,-1,0)="",0,OFFSET(F486,-1,0)),IF(F$8&lt;$K486,IF(OFFSET(F486,-1,0)="","ERR",OFFSET(F486,-1,0)),""))</f>
        <v/>
      </c>
      <c r="G486" s="11">
        <f>IF($K486=G$8,1+IF(OFFSET(G486,-1,0)="",0,OFFSET(G486,-1,0)),IF(G$8&lt;$K486,IF(OFFSET(G486,-1,0)="","ERR",OFFSET(G486,-1,0)),""))</f>
        <v/>
      </c>
      <c r="H486" s="11">
        <f>IF($K486=H$8,1+IF(OFFSET(H486,-1,0)="",0,OFFSET(H486,-1,0)),IF(H$8&lt;$K486,IF(OFFSET(H486,-1,0)="","ERR",OFFSET(H486,-1,0)),""))</f>
        <v/>
      </c>
      <c r="I486" s="11">
        <f>IF($K486=I$8,1+IF(OFFSET(I486,-1,0)="",0,OFFSET(I486,-1,0)),IF(I$8&lt;$K486,IF(OFFSET(I486,-1,0)="","ERR",OFFSET(I486,-1,0)),""))</f>
        <v/>
      </c>
      <c r="J486" s="46">
        <f>_xlfn.TEXTJOIN(".",1,B486:I486)</f>
        <v/>
      </c>
      <c r="K486" s="46" t="inlineStr">
        <is>
          <t>Л6</t>
        </is>
      </c>
      <c r="L486" s="46" t="inlineStr">
        <is>
          <t>3.3.3.22.2.9</t>
        </is>
      </c>
      <c r="M486" s="47" t="inlineStr">
        <is>
          <t>Монтаж источника питания</t>
        </is>
      </c>
      <c r="N486" s="46" t="inlineStr">
        <is>
          <t>шт</t>
        </is>
      </c>
      <c r="O486" s="94">
        <f>P486+Q486+S486+V486</f>
        <v/>
      </c>
      <c r="P486" s="46" t="n"/>
      <c r="Q486" s="46" t="n">
        <v>4</v>
      </c>
      <c r="R486" s="46" t="n">
        <v>4</v>
      </c>
      <c r="S486" s="46" t="n">
        <v>4</v>
      </c>
      <c r="T486" s="46" t="n">
        <v>4</v>
      </c>
      <c r="U486" s="46" t="n">
        <v>6</v>
      </c>
      <c r="V486" s="46" t="n">
        <v>6</v>
      </c>
      <c r="W486" s="46" t="n"/>
      <c r="X486" s="46" t="n"/>
      <c r="Y486" s="46" t="n"/>
      <c r="Z486" s="46" t="n"/>
      <c r="AA486" s="48" t="n"/>
      <c r="AB486" s="187" t="n"/>
      <c r="AC486" s="180" t="n"/>
      <c r="AD486" s="189">
        <f>SUM(AB486:AC486)</f>
        <v/>
      </c>
      <c r="AE486" s="189">
        <f>AB486*$O486</f>
        <v/>
      </c>
      <c r="AF486" s="189">
        <f>AC486*$O486</f>
        <v/>
      </c>
      <c r="AG486" s="189">
        <f>SUM(AE486:AF486)</f>
        <v/>
      </c>
      <c r="AH486" s="182" t="n"/>
    </row>
    <row r="487" outlineLevel="1">
      <c r="A487" s="18" t="inlineStr">
        <is>
          <t>О</t>
        </is>
      </c>
      <c r="B487" s="11">
        <f>IF($K487=B$8,1+IF(OFFSET(B487,-1,0)="",0,OFFSET(B487,-1,0)),IF(B$8&lt;$K487,IF(OFFSET(B487,-1,0)="","ERR",OFFSET(B487,-1,0)),""))</f>
        <v/>
      </c>
      <c r="C487" s="11">
        <f>IF($K487=C$8,1+IF(OFFSET(C487,-1,0)="",0,OFFSET(C487,-1,0)),IF(C$8&lt;$K487,IF(OFFSET(C487,-1,0)="","ERR",OFFSET(C487,-1,0)),""))</f>
        <v/>
      </c>
      <c r="D487" s="11">
        <f>IF($K487=D$8,1+IF(OFFSET(D487,-1,0)="",0,OFFSET(D487,-1,0)),IF(D$8&lt;$K487,IF(OFFSET(D487,-1,0)="","ERR",OFFSET(D487,-1,0)),""))</f>
        <v/>
      </c>
      <c r="E487" s="11">
        <f>IF($K487=E$8,1+IF(OFFSET(E487,-1,0)="",0,OFFSET(E487,-1,0)),IF(E$8&lt;$K487,IF(OFFSET(E487,-1,0)="","ERR",OFFSET(E487,-1,0)),""))</f>
        <v/>
      </c>
      <c r="F487" s="11">
        <f>IF($K487=F$8,1+IF(OFFSET(F487,-1,0)="",0,OFFSET(F487,-1,0)),IF(F$8&lt;$K487,IF(OFFSET(F487,-1,0)="","ERR",OFFSET(F487,-1,0)),""))</f>
        <v/>
      </c>
      <c r="G487" s="11">
        <f>IF($K487=G$8,1+IF(OFFSET(G487,-1,0)="",0,OFFSET(G487,-1,0)),IF(G$8&lt;$K487,IF(OFFSET(G487,-1,0)="","ERR",OFFSET(G487,-1,0)),""))</f>
        <v/>
      </c>
      <c r="H487" s="11">
        <f>IF($K487=H$8,1+IF(OFFSET(H487,-1,0)="",0,OFFSET(H487,-1,0)),IF(H$8&lt;$K487,IF(OFFSET(H487,-1,0)="","ERR",OFFSET(H487,-1,0)),""))</f>
        <v/>
      </c>
      <c r="I487" s="11">
        <f>IF($K487=I$8,1+IF(OFFSET(I487,-1,0)="",0,OFFSET(I487,-1,0)),IF(I$8&lt;$K487,IF(OFFSET(I487,-1,0)="","ERR",OFFSET(I487,-1,0)),""))</f>
        <v/>
      </c>
      <c r="J487" s="49">
        <f>_xlfn.TEXTJOIN(".",1,B487:I487)</f>
        <v/>
      </c>
      <c r="K487" s="49" t="inlineStr">
        <is>
          <t>Л7</t>
        </is>
      </c>
      <c r="L487" s="49" t="n"/>
      <c r="M487" s="63" t="inlineStr">
        <is>
          <t>Источник вторичного электропитания резервированный , ИВЭПР 24/2,5 RS-R3 2х7 БР, ООО «РУБЕЖ»</t>
        </is>
      </c>
      <c r="N487" s="49" t="inlineStr">
        <is>
          <t>шт.</t>
        </is>
      </c>
      <c r="O487" s="50">
        <f>P487+Q487+S487+V487</f>
        <v/>
      </c>
      <c r="P487" s="49" t="n"/>
      <c r="Q487" s="49" t="n">
        <v>1</v>
      </c>
      <c r="R487" s="49" t="n">
        <v>1</v>
      </c>
      <c r="S487" s="49" t="n">
        <v>1</v>
      </c>
      <c r="T487" s="49" t="n">
        <v>1</v>
      </c>
      <c r="U487" s="49" t="n">
        <v>2</v>
      </c>
      <c r="V487" s="49" t="n">
        <v>2</v>
      </c>
      <c r="W487" s="50" t="n">
        <v>1</v>
      </c>
      <c r="X487" s="26" t="n">
        <v>1659174829</v>
      </c>
      <c r="Y487" s="26" t="n">
        <v>165901001</v>
      </c>
      <c r="Z487" s="26" t="inlineStr">
        <is>
          <t xml:space="preserve"> "ТК "РУТЕК"</t>
        </is>
      </c>
      <c r="AA487" s="51" t="inlineStr">
        <is>
          <t>ГТ</t>
        </is>
      </c>
      <c r="AB487" s="188" t="n"/>
      <c r="AC487" s="189" t="n"/>
      <c r="AD487" s="190">
        <f>SUM(AB487:AC487)</f>
        <v/>
      </c>
      <c r="AE487" s="190">
        <f>AB487*$O487*$W487</f>
        <v/>
      </c>
      <c r="AF487" s="190">
        <f>AC487*$O487*$W487</f>
        <v/>
      </c>
      <c r="AG487" s="190">
        <f>SUM(AE487:AF487)</f>
        <v/>
      </c>
      <c r="AH487" s="182" t="n"/>
    </row>
    <row r="488" outlineLevel="1">
      <c r="A488" s="18" t="inlineStr">
        <is>
          <t>О</t>
        </is>
      </c>
      <c r="B488" s="11">
        <f>IF($K488=B$8,1+IF(OFFSET(B488,-1,0)="",0,OFFSET(B488,-1,0)),IF(B$8&lt;$K488,IF(OFFSET(B488,-1,0)="","ERR",OFFSET(B488,-1,0)),""))</f>
        <v/>
      </c>
      <c r="C488" s="11">
        <f>IF($K488=C$8,1+IF(OFFSET(C488,-1,0)="",0,OFFSET(C488,-1,0)),IF(C$8&lt;$K488,IF(OFFSET(C488,-1,0)="","ERR",OFFSET(C488,-1,0)),""))</f>
        <v/>
      </c>
      <c r="D488" s="11">
        <f>IF($K488=D$8,1+IF(OFFSET(D488,-1,0)="",0,OFFSET(D488,-1,0)),IF(D$8&lt;$K488,IF(OFFSET(D488,-1,0)="","ERR",OFFSET(D488,-1,0)),""))</f>
        <v/>
      </c>
      <c r="E488" s="11">
        <f>IF($K488=E$8,1+IF(OFFSET(E488,-1,0)="",0,OFFSET(E488,-1,0)),IF(E$8&lt;$K488,IF(OFFSET(E488,-1,0)="","ERR",OFFSET(E488,-1,0)),""))</f>
        <v/>
      </c>
      <c r="F488" s="11">
        <f>IF($K488=F$8,1+IF(OFFSET(F488,-1,0)="",0,OFFSET(F488,-1,0)),IF(F$8&lt;$K488,IF(OFFSET(F488,-1,0)="","ERR",OFFSET(F488,-1,0)),""))</f>
        <v/>
      </c>
      <c r="G488" s="11">
        <f>IF($K488=G$8,1+IF(OFFSET(G488,-1,0)="",0,OFFSET(G488,-1,0)),IF(G$8&lt;$K488,IF(OFFSET(G488,-1,0)="","ERR",OFFSET(G488,-1,0)),""))</f>
        <v/>
      </c>
      <c r="H488" s="11">
        <f>IF($K488=H$8,1+IF(OFFSET(H488,-1,0)="",0,OFFSET(H488,-1,0)),IF(H$8&lt;$K488,IF(OFFSET(H488,-1,0)="","ERR",OFFSET(H488,-1,0)),""))</f>
        <v/>
      </c>
      <c r="I488" s="11">
        <f>IF($K488=I$8,1+IF(OFFSET(I488,-1,0)="",0,OFFSET(I488,-1,0)),IF(I$8&lt;$K488,IF(OFFSET(I488,-1,0)="","ERR",OFFSET(I488,-1,0)),""))</f>
        <v/>
      </c>
      <c r="J488" s="49">
        <f>_xlfn.TEXTJOIN(".",1,B488:I488)</f>
        <v/>
      </c>
      <c r="K488" s="49" t="inlineStr">
        <is>
          <t>Л7</t>
        </is>
      </c>
      <c r="L488" s="49" t="n"/>
      <c r="M488" s="63" t="inlineStr">
        <is>
          <t>Источник вторичного электропитания резервированный , ИВЭПР 12/2 RS-R3 2x12 БР, ООО «РУБЕЖ»</t>
        </is>
      </c>
      <c r="N488" s="49" t="inlineStr">
        <is>
          <t>шт.</t>
        </is>
      </c>
      <c r="O488" s="50">
        <f>P488+Q488+S488+V488</f>
        <v/>
      </c>
      <c r="P488" s="49" t="n"/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1</v>
      </c>
      <c r="V488" s="49" t="n">
        <v>1</v>
      </c>
      <c r="W488" s="50" t="n">
        <v>1</v>
      </c>
      <c r="X488" s="26" t="n">
        <v>1659174829</v>
      </c>
      <c r="Y488" s="26" t="n">
        <v>165901001</v>
      </c>
      <c r="Z488" s="26" t="inlineStr">
        <is>
          <t xml:space="preserve"> "ТК "РУТЕК"</t>
        </is>
      </c>
      <c r="AA488" s="51" t="inlineStr">
        <is>
          <t>ГТ</t>
        </is>
      </c>
      <c r="AB488" s="188" t="n"/>
      <c r="AC488" s="189" t="n"/>
      <c r="AD488" s="190">
        <f>SUM(AB488:AC488)</f>
        <v/>
      </c>
      <c r="AE488" s="190">
        <f>AB488*$O488*$W488</f>
        <v/>
      </c>
      <c r="AF488" s="190">
        <f>AC488*$O488*$W488</f>
        <v/>
      </c>
      <c r="AG488" s="190">
        <f>SUM(AE488:AF488)</f>
        <v/>
      </c>
      <c r="AH488" s="182" t="n"/>
    </row>
    <row r="489" outlineLevel="1">
      <c r="A489" s="18" t="inlineStr">
        <is>
          <t>О</t>
        </is>
      </c>
      <c r="B489" s="11">
        <f>IF($K489=B$8,1+IF(OFFSET(B489,-1,0)="",0,OFFSET(B489,-1,0)),IF(B$8&lt;$K489,IF(OFFSET(B489,-1,0)="","ERR",OFFSET(B489,-1,0)),""))</f>
        <v/>
      </c>
      <c r="C489" s="11">
        <f>IF($K489=C$8,1+IF(OFFSET(C489,-1,0)="",0,OFFSET(C489,-1,0)),IF(C$8&lt;$K489,IF(OFFSET(C489,-1,0)="","ERR",OFFSET(C489,-1,0)),""))</f>
        <v/>
      </c>
      <c r="D489" s="11">
        <f>IF($K489=D$8,1+IF(OFFSET(D489,-1,0)="",0,OFFSET(D489,-1,0)),IF(D$8&lt;$K489,IF(OFFSET(D489,-1,0)="","ERR",OFFSET(D489,-1,0)),""))</f>
        <v/>
      </c>
      <c r="E489" s="11">
        <f>IF($K489=E$8,1+IF(OFFSET(E489,-1,0)="",0,OFFSET(E489,-1,0)),IF(E$8&lt;$K489,IF(OFFSET(E489,-1,0)="","ERR",OFFSET(E489,-1,0)),""))</f>
        <v/>
      </c>
      <c r="F489" s="11">
        <f>IF($K489=F$8,1+IF(OFFSET(F489,-1,0)="",0,OFFSET(F489,-1,0)),IF(F$8&lt;$K489,IF(OFFSET(F489,-1,0)="","ERR",OFFSET(F489,-1,0)),""))</f>
        <v/>
      </c>
      <c r="G489" s="11">
        <f>IF($K489=G$8,1+IF(OFFSET(G489,-1,0)="",0,OFFSET(G489,-1,0)),IF(G$8&lt;$K489,IF(OFFSET(G489,-1,0)="","ERR",OFFSET(G489,-1,0)),""))</f>
        <v/>
      </c>
      <c r="H489" s="11">
        <f>IF($K489=H$8,1+IF(OFFSET(H489,-1,0)="",0,OFFSET(H489,-1,0)),IF(H$8&lt;$K489,IF(OFFSET(H489,-1,0)="","ERR",OFFSET(H489,-1,0)),""))</f>
        <v/>
      </c>
      <c r="I489" s="11">
        <f>IF($K489=I$8,1+IF(OFFSET(I489,-1,0)="",0,OFFSET(I489,-1,0)),IF(I$8&lt;$K489,IF(OFFSET(I489,-1,0)="","ERR",OFFSET(I489,-1,0)),""))</f>
        <v/>
      </c>
      <c r="J489" s="49">
        <f>_xlfn.TEXTJOIN(".",1,B489:I489)</f>
        <v/>
      </c>
      <c r="K489" s="49" t="inlineStr">
        <is>
          <t>Л7</t>
        </is>
      </c>
      <c r="L489" s="49" t="n"/>
      <c r="M489" s="63" t="inlineStr">
        <is>
          <t>Источник вторичного электропитания резервированный , ИВЭПР 24/2,5 RS-R3 2х17 БР, ООО «РУБЕЖ»</t>
        </is>
      </c>
      <c r="N489" s="49" t="inlineStr">
        <is>
          <t>шт.</t>
        </is>
      </c>
      <c r="O489" s="50">
        <f>P489+Q489+S489+V489</f>
        <v/>
      </c>
      <c r="P489" s="49" t="n"/>
      <c r="Q489" s="49" t="n"/>
      <c r="R489" s="49" t="n"/>
      <c r="S489" s="49" t="n"/>
      <c r="T489" s="49" t="n"/>
      <c r="U489" s="49" t="n">
        <v>1</v>
      </c>
      <c r="V489" s="49" t="n">
        <v>1</v>
      </c>
      <c r="W489" s="50" t="n">
        <v>1</v>
      </c>
      <c r="X489" s="26" t="n">
        <v>1659174829</v>
      </c>
      <c r="Y489" s="26" t="n">
        <v>165901001</v>
      </c>
      <c r="Z489" s="26" t="inlineStr">
        <is>
          <t xml:space="preserve"> "ТК "РУТЕК"</t>
        </is>
      </c>
      <c r="AA489" s="51" t="inlineStr">
        <is>
          <t>ГТ</t>
        </is>
      </c>
      <c r="AB489" s="188" t="n"/>
      <c r="AC489" s="189" t="n"/>
      <c r="AD489" s="190">
        <f>SUM(AB489:AC489)</f>
        <v/>
      </c>
      <c r="AE489" s="190">
        <f>AB489*$O489*$W489</f>
        <v/>
      </c>
      <c r="AF489" s="190">
        <f>AC489*$O489*$W489</f>
        <v/>
      </c>
      <c r="AG489" s="190">
        <f>SUM(AE489:AF489)</f>
        <v/>
      </c>
      <c r="AH489" s="182" t="n"/>
    </row>
    <row r="490" outlineLevel="1">
      <c r="A490" s="18" t="inlineStr">
        <is>
          <t>О</t>
        </is>
      </c>
      <c r="B490" s="11">
        <f>IF($K490=B$8,1+IF(OFFSET(B490,-1,0)="",0,OFFSET(B490,-1,0)),IF(B$8&lt;$K490,IF(OFFSET(B490,-1,0)="","ERR",OFFSET(B490,-1,0)),""))</f>
        <v/>
      </c>
      <c r="C490" s="11">
        <f>IF($K490=C$8,1+IF(OFFSET(C490,-1,0)="",0,OFFSET(C490,-1,0)),IF(C$8&lt;$K490,IF(OFFSET(C490,-1,0)="","ERR",OFFSET(C490,-1,0)),""))</f>
        <v/>
      </c>
      <c r="D490" s="11">
        <f>IF($K490=D$8,1+IF(OFFSET(D490,-1,0)="",0,OFFSET(D490,-1,0)),IF(D$8&lt;$K490,IF(OFFSET(D490,-1,0)="","ERR",OFFSET(D490,-1,0)),""))</f>
        <v/>
      </c>
      <c r="E490" s="11">
        <f>IF($K490=E$8,1+IF(OFFSET(E490,-1,0)="",0,OFFSET(E490,-1,0)),IF(E$8&lt;$K490,IF(OFFSET(E490,-1,0)="","ERR",OFFSET(E490,-1,0)),""))</f>
        <v/>
      </c>
      <c r="F490" s="11">
        <f>IF($K490=F$8,1+IF(OFFSET(F490,-1,0)="",0,OFFSET(F490,-1,0)),IF(F$8&lt;$K490,IF(OFFSET(F490,-1,0)="","ERR",OFFSET(F490,-1,0)),""))</f>
        <v/>
      </c>
      <c r="G490" s="11">
        <f>IF($K490=G$8,1+IF(OFFSET(G490,-1,0)="",0,OFFSET(G490,-1,0)),IF(G$8&lt;$K490,IF(OFFSET(G490,-1,0)="","ERR",OFFSET(G490,-1,0)),""))</f>
        <v/>
      </c>
      <c r="H490" s="11">
        <f>IF($K490=H$8,1+IF(OFFSET(H490,-1,0)="",0,OFFSET(H490,-1,0)),IF(H$8&lt;$K490,IF(OFFSET(H490,-1,0)="","ERR",OFFSET(H490,-1,0)),""))</f>
        <v/>
      </c>
      <c r="I490" s="11">
        <f>IF($K490=I$8,1+IF(OFFSET(I490,-1,0)="",0,OFFSET(I490,-1,0)),IF(I$8&lt;$K490,IF(OFFSET(I490,-1,0)="","ERR",OFFSET(I490,-1,0)),""))</f>
        <v/>
      </c>
      <c r="J490" s="46">
        <f>_xlfn.TEXTJOIN(".",1,B490:I490)</f>
        <v/>
      </c>
      <c r="K490" s="46" t="inlineStr">
        <is>
          <t>Л7</t>
        </is>
      </c>
      <c r="L490" s="46" t="n"/>
      <c r="M490" s="64" t="inlineStr">
        <is>
          <t>Сопутствующие и прочие материалы*</t>
        </is>
      </c>
      <c r="N490" s="46" t="inlineStr">
        <is>
          <t>шт</t>
        </is>
      </c>
      <c r="O490" s="94">
        <f>P490+Q490+S490+V490</f>
        <v/>
      </c>
      <c r="P490" s="46" t="n"/>
      <c r="Q490" s="46" t="n">
        <v>4</v>
      </c>
      <c r="R490" s="46" t="n">
        <v>4</v>
      </c>
      <c r="S490" s="46" t="n">
        <v>4</v>
      </c>
      <c r="T490" s="46" t="n">
        <v>4</v>
      </c>
      <c r="U490" s="46" t="n">
        <v>6</v>
      </c>
      <c r="V490" s="46" t="n">
        <v>6</v>
      </c>
      <c r="W490" s="46" t="n"/>
      <c r="X490" s="46" t="n"/>
      <c r="Y490" s="46" t="n"/>
      <c r="Z490" s="46" t="n"/>
      <c r="AA490" s="48" t="n"/>
      <c r="AB490" s="179" t="n"/>
      <c r="AC490" s="189" t="n"/>
      <c r="AD490" s="189">
        <f>SUM(AB490:AC490)</f>
        <v/>
      </c>
      <c r="AE490" s="189">
        <f>AB490*$O490</f>
        <v/>
      </c>
      <c r="AF490" s="189">
        <f>AC490*$O490</f>
        <v/>
      </c>
      <c r="AG490" s="189">
        <f>SUM(AE490:AF490)</f>
        <v/>
      </c>
      <c r="AH490" s="182" t="n"/>
    </row>
    <row r="491" outlineLevel="1">
      <c r="A491" s="18" t="inlineStr">
        <is>
          <t>О</t>
        </is>
      </c>
      <c r="B491" s="11">
        <f>IF($K491=B$8,1+IF(OFFSET(B491,-1,0)="",0,OFFSET(B491,-1,0)),IF(B$8&lt;$K491,IF(OFFSET(B491,-1,0)="","ERR",OFFSET(B491,-1,0)),""))</f>
        <v/>
      </c>
      <c r="C491" s="11">
        <f>IF($K491=C$8,1+IF(OFFSET(C491,-1,0)="",0,OFFSET(C491,-1,0)),IF(C$8&lt;$K491,IF(OFFSET(C491,-1,0)="","ERR",OFFSET(C491,-1,0)),""))</f>
        <v/>
      </c>
      <c r="D491" s="11">
        <f>IF($K491=D$8,1+IF(OFFSET(D491,-1,0)="",0,OFFSET(D491,-1,0)),IF(D$8&lt;$K491,IF(OFFSET(D491,-1,0)="","ERR",OFFSET(D491,-1,0)),""))</f>
        <v/>
      </c>
      <c r="E491" s="11">
        <f>IF($K491=E$8,1+IF(OFFSET(E491,-1,0)="",0,OFFSET(E491,-1,0)),IF(E$8&lt;$K491,IF(OFFSET(E491,-1,0)="","ERR",OFFSET(E491,-1,0)),""))</f>
        <v/>
      </c>
      <c r="F491" s="11">
        <f>IF($K491=F$8,1+IF(OFFSET(F491,-1,0)="",0,OFFSET(F491,-1,0)),IF(F$8&lt;$K491,IF(OFFSET(F491,-1,0)="","ERR",OFFSET(F491,-1,0)),""))</f>
        <v/>
      </c>
      <c r="G491" s="11">
        <f>IF($K491=G$8,1+IF(OFFSET(G491,-1,0)="",0,OFFSET(G491,-1,0)),IF(G$8&lt;$K491,IF(OFFSET(G491,-1,0)="","ERR",OFFSET(G491,-1,0)),""))</f>
        <v/>
      </c>
      <c r="H491" s="11">
        <f>IF($K491=H$8,1+IF(OFFSET(H491,-1,0)="",0,OFFSET(H491,-1,0)),IF(H$8&lt;$K491,IF(OFFSET(H491,-1,0)="","ERR",OFFSET(H491,-1,0)),""))</f>
        <v/>
      </c>
      <c r="I491" s="11">
        <f>IF($K491=I$8,1+IF(OFFSET(I491,-1,0)="",0,OFFSET(I491,-1,0)),IF(I$8&lt;$K491,IF(OFFSET(I491,-1,0)="","ERR",OFFSET(I491,-1,0)),""))</f>
        <v/>
      </c>
      <c r="J491" s="46">
        <f>_xlfn.TEXTJOIN(".",1,B491:I491)</f>
        <v/>
      </c>
      <c r="K491" s="46" t="inlineStr">
        <is>
          <t>Л6</t>
        </is>
      </c>
      <c r="L491" s="46" t="inlineStr">
        <is>
          <t>3.3.3.22.2.10</t>
        </is>
      </c>
      <c r="M491" s="47" t="inlineStr">
        <is>
          <t>Монтаж аккумуляторной батареи: Аккумуляторная батарея 65 Ач, ЛКД-АКБ-1265, "ЛКД"</t>
        </is>
      </c>
      <c r="N491" s="46" t="inlineStr">
        <is>
          <t>шт</t>
        </is>
      </c>
      <c r="O491" s="94">
        <f>P491+Q491+S491+V491</f>
        <v/>
      </c>
      <c r="P491" s="46" t="n"/>
      <c r="Q491" s="46" t="n">
        <v>2</v>
      </c>
      <c r="R491" s="46" t="n">
        <v>2</v>
      </c>
      <c r="S491" s="46" t="n">
        <v>2</v>
      </c>
      <c r="T491" s="46" t="n">
        <v>2</v>
      </c>
      <c r="U491" s="46" t="n">
        <v>4</v>
      </c>
      <c r="V491" s="46" t="n">
        <v>4</v>
      </c>
      <c r="W491" s="46" t="n"/>
      <c r="X491" s="46" t="n"/>
      <c r="Y491" s="46" t="n"/>
      <c r="Z491" s="46" t="n"/>
      <c r="AA491" s="48" t="n"/>
      <c r="AB491" s="179" t="n"/>
      <c r="AC491" s="180" t="n"/>
      <c r="AD491" s="189">
        <f>SUM(AB491:AC491)</f>
        <v/>
      </c>
      <c r="AE491" s="189">
        <f>AB491*$O491</f>
        <v/>
      </c>
      <c r="AF491" s="189">
        <f>AC491*$O491</f>
        <v/>
      </c>
      <c r="AG491" s="189">
        <f>SUM(AE491:AF491)</f>
        <v/>
      </c>
      <c r="AH491" s="182" t="n"/>
    </row>
    <row r="492" outlineLevel="1">
      <c r="A492" s="18" t="inlineStr">
        <is>
          <t>О</t>
        </is>
      </c>
      <c r="B492" s="11">
        <f>IF($K492=B$8,1+IF(OFFSET(B492,-1,0)="",0,OFFSET(B492,-1,0)),IF(B$8&lt;$K492,IF(OFFSET(B492,-1,0)="","ERR",OFFSET(B492,-1,0)),""))</f>
        <v/>
      </c>
      <c r="C492" s="11">
        <f>IF($K492=C$8,1+IF(OFFSET(C492,-1,0)="",0,OFFSET(C492,-1,0)),IF(C$8&lt;$K492,IF(OFFSET(C492,-1,0)="","ERR",OFFSET(C492,-1,0)),""))</f>
        <v/>
      </c>
      <c r="D492" s="11">
        <f>IF($K492=D$8,1+IF(OFFSET(D492,-1,0)="",0,OFFSET(D492,-1,0)),IF(D$8&lt;$K492,IF(OFFSET(D492,-1,0)="","ERR",OFFSET(D492,-1,0)),""))</f>
        <v/>
      </c>
      <c r="E492" s="11">
        <f>IF($K492=E$8,1+IF(OFFSET(E492,-1,0)="",0,OFFSET(E492,-1,0)),IF(E$8&lt;$K492,IF(OFFSET(E492,-1,0)="","ERR",OFFSET(E492,-1,0)),""))</f>
        <v/>
      </c>
      <c r="F492" s="11">
        <f>IF($K492=F$8,1+IF(OFFSET(F492,-1,0)="",0,OFFSET(F492,-1,0)),IF(F$8&lt;$K492,IF(OFFSET(F492,-1,0)="","ERR",OFFSET(F492,-1,0)),""))</f>
        <v/>
      </c>
      <c r="G492" s="11">
        <f>IF($K492=G$8,1+IF(OFFSET(G492,-1,0)="",0,OFFSET(G492,-1,0)),IF(G$8&lt;$K492,IF(OFFSET(G492,-1,0)="","ERR",OFFSET(G492,-1,0)),""))</f>
        <v/>
      </c>
      <c r="H492" s="11">
        <f>IF($K492=H$8,1+IF(OFFSET(H492,-1,0)="",0,OFFSET(H492,-1,0)),IF(H$8&lt;$K492,IF(OFFSET(H492,-1,0)="","ERR",OFFSET(H492,-1,0)),""))</f>
        <v/>
      </c>
      <c r="I492" s="11">
        <f>IF($K492=I$8,1+IF(OFFSET(I492,-1,0)="",0,OFFSET(I492,-1,0)),IF(I$8&lt;$K492,IF(OFFSET(I492,-1,0)="","ERR",OFFSET(I492,-1,0)),""))</f>
        <v/>
      </c>
      <c r="J492" s="46">
        <f>_xlfn.TEXTJOIN(".",1,B492:I492)</f>
        <v/>
      </c>
      <c r="K492" s="46" t="inlineStr">
        <is>
          <t>Л6</t>
        </is>
      </c>
      <c r="L492" s="46" t="inlineStr">
        <is>
          <t>3.3.3.22.2.10</t>
        </is>
      </c>
      <c r="M492" s="47" t="inlineStr">
        <is>
          <t>Монтаж аккумуляторной батареи: Аккумулятор свинцово-кислотный, АКБ 12V - 7Ah, DELTA Battery</t>
        </is>
      </c>
      <c r="N492" s="46" t="inlineStr">
        <is>
          <t>шт</t>
        </is>
      </c>
      <c r="O492" s="94">
        <f>P492+Q492+S492+V492</f>
        <v/>
      </c>
      <c r="P492" s="46" t="n"/>
      <c r="Q492" s="46" t="n">
        <v>2</v>
      </c>
      <c r="R492" s="46" t="n">
        <v>2</v>
      </c>
      <c r="S492" s="46" t="n">
        <v>2</v>
      </c>
      <c r="T492" s="46" t="n">
        <v>2</v>
      </c>
      <c r="U492" s="46" t="n">
        <v>4</v>
      </c>
      <c r="V492" s="46" t="n">
        <v>4</v>
      </c>
      <c r="W492" s="46" t="n"/>
      <c r="X492" s="46" t="n"/>
      <c r="Y492" s="46" t="n"/>
      <c r="Z492" s="46" t="n"/>
      <c r="AA492" s="48" t="n"/>
      <c r="AB492" s="179" t="n"/>
      <c r="AC492" s="180" t="n"/>
      <c r="AD492" s="189">
        <f>SUM(AB492:AC492)</f>
        <v/>
      </c>
      <c r="AE492" s="189">
        <f>AB492*$O492</f>
        <v/>
      </c>
      <c r="AF492" s="189">
        <f>AC492*$O492</f>
        <v/>
      </c>
      <c r="AG492" s="189">
        <f>SUM(AE492:AF492)</f>
        <v/>
      </c>
      <c r="AH492" s="182" t="n"/>
    </row>
    <row r="493" outlineLevel="1">
      <c r="A493" s="18" t="inlineStr">
        <is>
          <t>О</t>
        </is>
      </c>
      <c r="B493" s="11">
        <f>IF($K493=B$8,1+IF(OFFSET(B493,-1,0)="",0,OFFSET(B493,-1,0)),IF(B$8&lt;$K493,IF(OFFSET(B493,-1,0)="","ERR",OFFSET(B493,-1,0)),""))</f>
        <v/>
      </c>
      <c r="C493" s="11">
        <f>IF($K493=C$8,1+IF(OFFSET(C493,-1,0)="",0,OFFSET(C493,-1,0)),IF(C$8&lt;$K493,IF(OFFSET(C493,-1,0)="","ERR",OFFSET(C493,-1,0)),""))</f>
        <v/>
      </c>
      <c r="D493" s="11">
        <f>IF($K493=D$8,1+IF(OFFSET(D493,-1,0)="",0,OFFSET(D493,-1,0)),IF(D$8&lt;$K493,IF(OFFSET(D493,-1,0)="","ERR",OFFSET(D493,-1,0)),""))</f>
        <v/>
      </c>
      <c r="E493" s="11">
        <f>IF($K493=E$8,1+IF(OFFSET(E493,-1,0)="",0,OFFSET(E493,-1,0)),IF(E$8&lt;$K493,IF(OFFSET(E493,-1,0)="","ERR",OFFSET(E493,-1,0)),""))</f>
        <v/>
      </c>
      <c r="F493" s="11">
        <f>IF($K493=F$8,1+IF(OFFSET(F493,-1,0)="",0,OFFSET(F493,-1,0)),IF(F$8&lt;$K493,IF(OFFSET(F493,-1,0)="","ERR",OFFSET(F493,-1,0)),""))</f>
        <v/>
      </c>
      <c r="G493" s="11">
        <f>IF($K493=G$8,1+IF(OFFSET(G493,-1,0)="",0,OFFSET(G493,-1,0)),IF(G$8&lt;$K493,IF(OFFSET(G493,-1,0)="","ERR",OFFSET(G493,-1,0)),""))</f>
        <v/>
      </c>
      <c r="H493" s="11">
        <f>IF($K493=H$8,1+IF(OFFSET(H493,-1,0)="",0,OFFSET(H493,-1,0)),IF(H$8&lt;$K493,IF(OFFSET(H493,-1,0)="","ERR",OFFSET(H493,-1,0)),""))</f>
        <v/>
      </c>
      <c r="I493" s="11">
        <f>IF($K493=I$8,1+IF(OFFSET(I493,-1,0)="",0,OFFSET(I493,-1,0)),IF(I$8&lt;$K493,IF(OFFSET(I493,-1,0)="","ERR",OFFSET(I493,-1,0)),""))</f>
        <v/>
      </c>
      <c r="J493" s="46">
        <f>_xlfn.TEXTJOIN(".",1,B493:I493)</f>
        <v/>
      </c>
      <c r="K493" s="46" t="inlineStr">
        <is>
          <t>Л6</t>
        </is>
      </c>
      <c r="L493" s="46" t="inlineStr">
        <is>
          <t>3.3.3.22.2.10</t>
        </is>
      </c>
      <c r="M493" s="47" t="inlineStr">
        <is>
          <t>Монтаж аккумуляторной батареи: Аккумулятор свинцово-кислотный, АКБ 12V - 12Ah, DELTA Battery</t>
        </is>
      </c>
      <c r="N493" s="46" t="inlineStr">
        <is>
          <t>шт</t>
        </is>
      </c>
      <c r="O493" s="94">
        <f>P493+Q493+S493+V493</f>
        <v/>
      </c>
      <c r="P493" s="46" t="n"/>
      <c r="Q493" s="46" t="n"/>
      <c r="R493" s="46" t="n"/>
      <c r="S493" s="46" t="n"/>
      <c r="T493" s="46" t="n"/>
      <c r="U493" s="46" t="n">
        <v>2</v>
      </c>
      <c r="V493" s="46" t="n">
        <v>2</v>
      </c>
      <c r="W493" s="46" t="n"/>
      <c r="X493" s="46" t="n"/>
      <c r="Y493" s="46" t="n"/>
      <c r="Z493" s="46" t="n"/>
      <c r="AA493" s="48" t="n"/>
      <c r="AB493" s="179" t="n"/>
      <c r="AC493" s="180" t="n"/>
      <c r="AD493" s="189">
        <f>SUM(AB493:AC493)</f>
        <v/>
      </c>
      <c r="AE493" s="189">
        <f>AB493*$O493</f>
        <v/>
      </c>
      <c r="AF493" s="189">
        <f>AC493*$O493</f>
        <v/>
      </c>
      <c r="AG493" s="189">
        <f>SUM(AE493:AF493)</f>
        <v/>
      </c>
      <c r="AH493" s="182" t="n"/>
    </row>
    <row r="494" outlineLevel="1">
      <c r="A494" s="18" t="inlineStr">
        <is>
          <t>О</t>
        </is>
      </c>
      <c r="B494" s="11">
        <f>IF($K494=B$8,1+IF(OFFSET(B494,-1,0)="",0,OFFSET(B494,-1,0)),IF(B$8&lt;$K494,IF(OFFSET(B494,-1,0)="","ERR",OFFSET(B494,-1,0)),""))</f>
        <v/>
      </c>
      <c r="C494" s="11">
        <f>IF($K494=C$8,1+IF(OFFSET(C494,-1,0)="",0,OFFSET(C494,-1,0)),IF(C$8&lt;$K494,IF(OFFSET(C494,-1,0)="","ERR",OFFSET(C494,-1,0)),""))</f>
        <v/>
      </c>
      <c r="D494" s="11">
        <f>IF($K494=D$8,1+IF(OFFSET(D494,-1,0)="",0,OFFSET(D494,-1,0)),IF(D$8&lt;$K494,IF(OFFSET(D494,-1,0)="","ERR",OFFSET(D494,-1,0)),""))</f>
        <v/>
      </c>
      <c r="E494" s="11">
        <f>IF($K494=E$8,1+IF(OFFSET(E494,-1,0)="",0,OFFSET(E494,-1,0)),IF(E$8&lt;$K494,IF(OFFSET(E494,-1,0)="","ERR",OFFSET(E494,-1,0)),""))</f>
        <v/>
      </c>
      <c r="F494" s="11">
        <f>IF($K494=F$8,1+IF(OFFSET(F494,-1,0)="",0,OFFSET(F494,-1,0)),IF(F$8&lt;$K494,IF(OFFSET(F494,-1,0)="","ERR",OFFSET(F494,-1,0)),""))</f>
        <v/>
      </c>
      <c r="G494" s="11">
        <f>IF($K494=G$8,1+IF(OFFSET(G494,-1,0)="",0,OFFSET(G494,-1,0)),IF(G$8&lt;$K494,IF(OFFSET(G494,-1,0)="","ERR",OFFSET(G494,-1,0)),""))</f>
        <v/>
      </c>
      <c r="H494" s="11">
        <f>IF($K494=H$8,1+IF(OFFSET(H494,-1,0)="",0,OFFSET(H494,-1,0)),IF(H$8&lt;$K494,IF(OFFSET(H494,-1,0)="","ERR",OFFSET(H494,-1,0)),""))</f>
        <v/>
      </c>
      <c r="I494" s="11">
        <f>IF($K494=I$8,1+IF(OFFSET(I494,-1,0)="",0,OFFSET(I494,-1,0)),IF(I$8&lt;$K494,IF(OFFSET(I494,-1,0)="","ERR",OFFSET(I494,-1,0)),""))</f>
        <v/>
      </c>
      <c r="J494" s="46">
        <f>_xlfn.TEXTJOIN(".",1,B494:I494)</f>
        <v/>
      </c>
      <c r="K494" s="46" t="inlineStr">
        <is>
          <t>Л6</t>
        </is>
      </c>
      <c r="L494" s="46" t="inlineStr">
        <is>
          <t>3.3.3.22.2.10</t>
        </is>
      </c>
      <c r="M494" s="47" t="inlineStr">
        <is>
          <t>Монтаж аккумуляторной батареи: Аккумулятор свинцово-кислотный, АКБ 12V - 17Ah, DELTA Battery</t>
        </is>
      </c>
      <c r="N494" s="46" t="inlineStr">
        <is>
          <t>шт</t>
        </is>
      </c>
      <c r="O494" s="94">
        <f>P494+Q494+S494+V494</f>
        <v/>
      </c>
      <c r="P494" s="46" t="n"/>
      <c r="Q494" s="46" t="n"/>
      <c r="R494" s="46" t="n"/>
      <c r="S494" s="46" t="n"/>
      <c r="T494" s="46" t="n"/>
      <c r="U494" s="46" t="n">
        <v>2</v>
      </c>
      <c r="V494" s="46" t="n">
        <v>2</v>
      </c>
      <c r="W494" s="46" t="n"/>
      <c r="X494" s="46" t="n"/>
      <c r="Y494" s="46" t="n"/>
      <c r="Z494" s="46" t="n"/>
      <c r="AA494" s="48" t="n"/>
      <c r="AB494" s="179" t="n"/>
      <c r="AC494" s="180" t="n"/>
      <c r="AD494" s="189">
        <f>SUM(AB494:AC494)</f>
        <v/>
      </c>
      <c r="AE494" s="189">
        <f>AB494*$O494</f>
        <v/>
      </c>
      <c r="AF494" s="189">
        <f>AC494*$O494</f>
        <v/>
      </c>
      <c r="AG494" s="189">
        <f>SUM(AE494:AF494)</f>
        <v/>
      </c>
      <c r="AH494" s="182" t="n"/>
    </row>
    <row r="495" outlineLevel="1">
      <c r="A495" s="18" t="inlineStr">
        <is>
          <t>О</t>
        </is>
      </c>
      <c r="B495" s="11">
        <f>IF($K495=B$8,1+IF(OFFSET(B495,-1,0)="",0,OFFSET(B495,-1,0)),IF(B$8&lt;$K495,IF(OFFSET(B495,-1,0)="","ERR",OFFSET(B495,-1,0)),""))</f>
        <v/>
      </c>
      <c r="C495" s="11">
        <f>IF($K495=C$8,1+IF(OFFSET(C495,-1,0)="",0,OFFSET(C495,-1,0)),IF(C$8&lt;$K495,IF(OFFSET(C495,-1,0)="","ERR",OFFSET(C495,-1,0)),""))</f>
        <v/>
      </c>
      <c r="D495" s="11">
        <f>IF($K495=D$8,1+IF(OFFSET(D495,-1,0)="",0,OFFSET(D495,-1,0)),IF(D$8&lt;$K495,IF(OFFSET(D495,-1,0)="","ERR",OFFSET(D495,-1,0)),""))</f>
        <v/>
      </c>
      <c r="E495" s="11">
        <f>IF($K495=E$8,1+IF(OFFSET(E495,-1,0)="",0,OFFSET(E495,-1,0)),IF(E$8&lt;$K495,IF(OFFSET(E495,-1,0)="","ERR",OFFSET(E495,-1,0)),""))</f>
        <v/>
      </c>
      <c r="F495" s="11">
        <f>IF($K495=F$8,1+IF(OFFSET(F495,-1,0)="",0,OFFSET(F495,-1,0)),IF(F$8&lt;$K495,IF(OFFSET(F495,-1,0)="","ERR",OFFSET(F495,-1,0)),""))</f>
        <v/>
      </c>
      <c r="G495" s="11">
        <f>IF($K495=G$8,1+IF(OFFSET(G495,-1,0)="",0,OFFSET(G495,-1,0)),IF(G$8&lt;$K495,IF(OFFSET(G495,-1,0)="","ERR",OFFSET(G495,-1,0)),""))</f>
        <v/>
      </c>
      <c r="H495" s="11">
        <f>IF($K495=H$8,1+IF(OFFSET(H495,-1,0)="",0,OFFSET(H495,-1,0)),IF(H$8&lt;$K495,IF(OFFSET(H495,-1,0)="","ERR",OFFSET(H495,-1,0)),""))</f>
        <v/>
      </c>
      <c r="I495" s="11">
        <f>IF($K495=I$8,1+IF(OFFSET(I495,-1,0)="",0,OFFSET(I495,-1,0)),IF(I$8&lt;$K495,IF(OFFSET(I495,-1,0)="","ERR",OFFSET(I495,-1,0)),""))</f>
        <v/>
      </c>
      <c r="J495" s="46">
        <f>_xlfn.TEXTJOIN(".",1,B495:I495)</f>
        <v/>
      </c>
      <c r="K495" s="46" t="inlineStr">
        <is>
          <t>Л6</t>
        </is>
      </c>
      <c r="L495" s="46" t="inlineStr">
        <is>
          <t>3.3.3.22.2.10</t>
        </is>
      </c>
      <c r="M495" s="47" t="inlineStr">
        <is>
          <t>Монтаж аккумуляторной батареи: Аккумулятор свинцово-кислотный, АКБ 12V - 26Ah, DELTA Battery</t>
        </is>
      </c>
      <c r="N495" s="46" t="inlineStr">
        <is>
          <t>шт</t>
        </is>
      </c>
      <c r="O495" s="94">
        <f>P495+Q495+S495+V495</f>
        <v/>
      </c>
      <c r="P495" s="46" t="n"/>
      <c r="Q495" s="46" t="n"/>
      <c r="R495" s="46" t="n"/>
      <c r="S495" s="46" t="n"/>
      <c r="T495" s="46" t="n"/>
      <c r="U495" s="46" t="n">
        <v>2</v>
      </c>
      <c r="V495" s="46" t="n">
        <v>2</v>
      </c>
      <c r="W495" s="46" t="n"/>
      <c r="X495" s="46" t="n"/>
      <c r="Y495" s="46" t="n"/>
      <c r="Z495" s="46" t="n"/>
      <c r="AA495" s="48" t="n"/>
      <c r="AB495" s="179" t="n"/>
      <c r="AC495" s="180" t="n"/>
      <c r="AD495" s="189">
        <f>SUM(AB495:AC495)</f>
        <v/>
      </c>
      <c r="AE495" s="189">
        <f>AB495*$O495</f>
        <v/>
      </c>
      <c r="AF495" s="189">
        <f>AC495*$O495</f>
        <v/>
      </c>
      <c r="AG495" s="189">
        <f>SUM(AE495:AF495)</f>
        <v/>
      </c>
      <c r="AH495" s="182" t="n"/>
    </row>
    <row r="496" outlineLevel="1">
      <c r="A496" s="18" t="inlineStr">
        <is>
          <t>О</t>
        </is>
      </c>
      <c r="B496" s="11">
        <f>IF($K496=B$8,1+IF(OFFSET(B496,-1,0)="",0,OFFSET(B496,-1,0)),IF(B$8&lt;$K496,IF(OFFSET(B496,-1,0)="","ERR",OFFSET(B496,-1,0)),""))</f>
        <v/>
      </c>
      <c r="C496" s="11">
        <f>IF($K496=C$8,1+IF(OFFSET(C496,-1,0)="",0,OFFSET(C496,-1,0)),IF(C$8&lt;$K496,IF(OFFSET(C496,-1,0)="","ERR",OFFSET(C496,-1,0)),""))</f>
        <v/>
      </c>
      <c r="D496" s="11">
        <f>IF($K496=D$8,1+IF(OFFSET(D496,-1,0)="",0,OFFSET(D496,-1,0)),IF(D$8&lt;$K496,IF(OFFSET(D496,-1,0)="","ERR",OFFSET(D496,-1,0)),""))</f>
        <v/>
      </c>
      <c r="E496" s="11">
        <f>IF($K496=E$8,1+IF(OFFSET(E496,-1,0)="",0,OFFSET(E496,-1,0)),IF(E$8&lt;$K496,IF(OFFSET(E496,-1,0)="","ERR",OFFSET(E496,-1,0)),""))</f>
        <v/>
      </c>
      <c r="F496" s="11">
        <f>IF($K496=F$8,1+IF(OFFSET(F496,-1,0)="",0,OFFSET(F496,-1,0)),IF(F$8&lt;$K496,IF(OFFSET(F496,-1,0)="","ERR",OFFSET(F496,-1,0)),""))</f>
        <v/>
      </c>
      <c r="G496" s="11">
        <f>IF($K496=G$8,1+IF(OFFSET(G496,-1,0)="",0,OFFSET(G496,-1,0)),IF(G$8&lt;$K496,IF(OFFSET(G496,-1,0)="","ERR",OFFSET(G496,-1,0)),""))</f>
        <v/>
      </c>
      <c r="H496" s="11">
        <f>IF($K496=H$8,1+IF(OFFSET(H496,-1,0)="",0,OFFSET(H496,-1,0)),IF(H$8&lt;$K496,IF(OFFSET(H496,-1,0)="","ERR",OFFSET(H496,-1,0)),""))</f>
        <v/>
      </c>
      <c r="I496" s="11">
        <f>IF($K496=I$8,1+IF(OFFSET(I496,-1,0)="",0,OFFSET(I496,-1,0)),IF(I$8&lt;$K496,IF(OFFSET(I496,-1,0)="","ERR",OFFSET(I496,-1,0)),""))</f>
        <v/>
      </c>
      <c r="J496" s="46">
        <f>_xlfn.TEXTJOIN(".",1,B496:I496)</f>
        <v/>
      </c>
      <c r="K496" s="46" t="inlineStr">
        <is>
          <t>Л6</t>
        </is>
      </c>
      <c r="L496" s="46" t="inlineStr">
        <is>
          <t>3.3.3.22.2.10</t>
        </is>
      </c>
      <c r="M496" s="47" t="inlineStr">
        <is>
          <t>Монтаж аккумуляторной батареи: Аккумулятор свинцово-кислотный, АКБ 12V - 40Ah, DELTA Battery</t>
        </is>
      </c>
      <c r="N496" s="46" t="inlineStr">
        <is>
          <t>шт</t>
        </is>
      </c>
      <c r="O496" s="94">
        <f>P496+Q496+S496+V496</f>
        <v/>
      </c>
      <c r="P496" s="46" t="n"/>
      <c r="Q496" s="46" t="n">
        <v>4</v>
      </c>
      <c r="R496" s="46" t="n">
        <v>4</v>
      </c>
      <c r="S496" s="46" t="n">
        <v>4</v>
      </c>
      <c r="T496" s="46" t="n">
        <v>4</v>
      </c>
      <c r="U496" s="46" t="n">
        <v>2</v>
      </c>
      <c r="V496" s="46" t="n">
        <v>2</v>
      </c>
      <c r="W496" s="46" t="n"/>
      <c r="X496" s="46" t="n"/>
      <c r="Y496" s="46" t="n"/>
      <c r="Z496" s="46" t="n"/>
      <c r="AA496" s="48" t="n"/>
      <c r="AB496" s="179" t="n"/>
      <c r="AC496" s="180" t="n"/>
      <c r="AD496" s="189">
        <f>SUM(AB496:AC496)</f>
        <v/>
      </c>
      <c r="AE496" s="189">
        <f>AB496*$O496</f>
        <v/>
      </c>
      <c r="AF496" s="189">
        <f>AC496*$O496</f>
        <v/>
      </c>
      <c r="AG496" s="189">
        <f>SUM(AE496:AF496)</f>
        <v/>
      </c>
      <c r="AH496" s="182" t="n"/>
    </row>
    <row r="497" outlineLevel="1">
      <c r="A497" s="18" t="inlineStr">
        <is>
          <t>О</t>
        </is>
      </c>
      <c r="B497" s="11">
        <f>IF($K497=B$8,1+IF(OFFSET(B497,-1,0)="",0,OFFSET(B497,-1,0)),IF(B$8&lt;$K497,IF(OFFSET(B497,-1,0)="","ERR",OFFSET(B497,-1,0)),""))</f>
        <v/>
      </c>
      <c r="C497" s="11">
        <f>IF($K497=C$8,1+IF(OFFSET(C497,-1,0)="",0,OFFSET(C497,-1,0)),IF(C$8&lt;$K497,IF(OFFSET(C497,-1,0)="","ERR",OFFSET(C497,-1,0)),""))</f>
        <v/>
      </c>
      <c r="D497" s="11">
        <f>IF($K497=D$8,1+IF(OFFSET(D497,-1,0)="",0,OFFSET(D497,-1,0)),IF(D$8&lt;$K497,IF(OFFSET(D497,-1,0)="","ERR",OFFSET(D497,-1,0)),""))</f>
        <v/>
      </c>
      <c r="E497" s="11">
        <f>IF($K497=E$8,1+IF(OFFSET(E497,-1,0)="",0,OFFSET(E497,-1,0)),IF(E$8&lt;$K497,IF(OFFSET(E497,-1,0)="","ERR",OFFSET(E497,-1,0)),""))</f>
        <v/>
      </c>
      <c r="F497" s="11">
        <f>IF($K497=F$8,1+IF(OFFSET(F497,-1,0)="",0,OFFSET(F497,-1,0)),IF(F$8&lt;$K497,IF(OFFSET(F497,-1,0)="","ERR",OFFSET(F497,-1,0)),""))</f>
        <v/>
      </c>
      <c r="G497" s="11">
        <f>IF($K497=G$8,1+IF(OFFSET(G497,-1,0)="",0,OFFSET(G497,-1,0)),IF(G$8&lt;$K497,IF(OFFSET(G497,-1,0)="","ERR",OFFSET(G497,-1,0)),""))</f>
        <v/>
      </c>
      <c r="H497" s="11">
        <f>IF($K497=H$8,1+IF(OFFSET(H497,-1,0)="",0,OFFSET(H497,-1,0)),IF(H$8&lt;$K497,IF(OFFSET(H497,-1,0)="","ERR",OFFSET(H497,-1,0)),""))</f>
        <v/>
      </c>
      <c r="I497" s="11">
        <f>IF($K497=I$8,1+IF(OFFSET(I497,-1,0)="",0,OFFSET(I497,-1,0)),IF(I$8&lt;$K497,IF(OFFSET(I497,-1,0)="","ERR",OFFSET(I497,-1,0)),""))</f>
        <v/>
      </c>
      <c r="J497" s="46">
        <f>_xlfn.TEXTJOIN(".",1,B497:I497)</f>
        <v/>
      </c>
      <c r="K497" s="46" t="inlineStr">
        <is>
          <t>Л6</t>
        </is>
      </c>
      <c r="L497" s="46" t="inlineStr">
        <is>
          <t>3.3.3.22.2.11</t>
        </is>
      </c>
      <c r="M497" s="47" t="inlineStr">
        <is>
          <t>Монтаж бокса для источника питания</t>
        </is>
      </c>
      <c r="N497" s="46" t="inlineStr">
        <is>
          <t>шт</t>
        </is>
      </c>
      <c r="O497" s="94">
        <f>P497+Q497+S497+V497</f>
        <v/>
      </c>
      <c r="P497" s="46" t="n"/>
      <c r="Q497" s="46">
        <f>SUM(Q498:Q499)</f>
        <v/>
      </c>
      <c r="R497" s="46">
        <f>SUM(R498:R499)</f>
        <v/>
      </c>
      <c r="S497" s="46">
        <f>SUM(S498:S499)</f>
        <v/>
      </c>
      <c r="T497" s="46">
        <f>SUM(T498:T499)</f>
        <v/>
      </c>
      <c r="U497" s="46">
        <f>SUM(U498:U499)</f>
        <v/>
      </c>
      <c r="V497" s="46">
        <f>SUM(V498:V499)</f>
        <v/>
      </c>
      <c r="W497" s="46" t="n"/>
      <c r="X497" s="46" t="n"/>
      <c r="Y497" s="46" t="n"/>
      <c r="Z497" s="46" t="n"/>
      <c r="AA497" s="48" t="n"/>
      <c r="AB497" s="187" t="n"/>
      <c r="AC497" s="180" t="n"/>
      <c r="AD497" s="189">
        <f>SUM(AB497:AC497)</f>
        <v/>
      </c>
      <c r="AE497" s="189">
        <f>AB497*$O497</f>
        <v/>
      </c>
      <c r="AF497" s="189">
        <f>AC497*$O497</f>
        <v/>
      </c>
      <c r="AG497" s="189">
        <f>SUM(AE497:AF497)</f>
        <v/>
      </c>
      <c r="AH497" s="182" t="n"/>
    </row>
    <row r="498" outlineLevel="1">
      <c r="A498" s="18" t="inlineStr">
        <is>
          <t>О</t>
        </is>
      </c>
      <c r="B498" s="11">
        <f>IF($K498=B$8,1+IF(OFFSET(B498,-1,0)="",0,OFFSET(B498,-1,0)),IF(B$8&lt;$K498,IF(OFFSET(B498,-1,0)="","ERR",OFFSET(B498,-1,0)),""))</f>
        <v/>
      </c>
      <c r="C498" s="11">
        <f>IF($K498=C$8,1+IF(OFFSET(C498,-1,0)="",0,OFFSET(C498,-1,0)),IF(C$8&lt;$K498,IF(OFFSET(C498,-1,0)="","ERR",OFFSET(C498,-1,0)),""))</f>
        <v/>
      </c>
      <c r="D498" s="11">
        <f>IF($K498=D$8,1+IF(OFFSET(D498,-1,0)="",0,OFFSET(D498,-1,0)),IF(D$8&lt;$K498,IF(OFFSET(D498,-1,0)="","ERR",OFFSET(D498,-1,0)),""))</f>
        <v/>
      </c>
      <c r="E498" s="11">
        <f>IF($K498=E$8,1+IF(OFFSET(E498,-1,0)="",0,OFFSET(E498,-1,0)),IF(E$8&lt;$K498,IF(OFFSET(E498,-1,0)="","ERR",OFFSET(E498,-1,0)),""))</f>
        <v/>
      </c>
      <c r="F498" s="11">
        <f>IF($K498=F$8,1+IF(OFFSET(F498,-1,0)="",0,OFFSET(F498,-1,0)),IF(F$8&lt;$K498,IF(OFFSET(F498,-1,0)="","ERR",OFFSET(F498,-1,0)),""))</f>
        <v/>
      </c>
      <c r="G498" s="11">
        <f>IF($K498=G$8,1+IF(OFFSET(G498,-1,0)="",0,OFFSET(G498,-1,0)),IF(G$8&lt;$K498,IF(OFFSET(G498,-1,0)="","ERR",OFFSET(G498,-1,0)),""))</f>
        <v/>
      </c>
      <c r="H498" s="11">
        <f>IF($K498=H$8,1+IF(OFFSET(H498,-1,0)="",0,OFFSET(H498,-1,0)),IF(H$8&lt;$K498,IF(OFFSET(H498,-1,0)="","ERR",OFFSET(H498,-1,0)),""))</f>
        <v/>
      </c>
      <c r="I498" s="11">
        <f>IF($K498=I$8,1+IF(OFFSET(I498,-1,0)="",0,OFFSET(I498,-1,0)),IF(I$8&lt;$K498,IF(OFFSET(I498,-1,0)="","ERR",OFFSET(I498,-1,0)),""))</f>
        <v/>
      </c>
      <c r="J498" s="49">
        <f>_xlfn.TEXTJOIN(".",1,B498:I498)</f>
        <v/>
      </c>
      <c r="K498" s="49" t="inlineStr">
        <is>
          <t>Л7</t>
        </is>
      </c>
      <c r="L498" s="49" t="n"/>
      <c r="M498" s="63" t="inlineStr">
        <is>
          <t>Бокс для размещения АКБ, LPA-Presta-BOX, «LPA»</t>
        </is>
      </c>
      <c r="N498" s="49" t="inlineStr">
        <is>
          <t>шт.</t>
        </is>
      </c>
      <c r="O498" s="50">
        <f>P498+Q498+S498+V498</f>
        <v/>
      </c>
      <c r="P498" s="49" t="n"/>
      <c r="Q498" s="49" t="n">
        <v>1</v>
      </c>
      <c r="R498" s="49" t="n">
        <v>1</v>
      </c>
      <c r="S498" s="49" t="n">
        <v>1</v>
      </c>
      <c r="T498" s="49" t="n">
        <v>1</v>
      </c>
      <c r="U498" s="49" t="n">
        <v>2</v>
      </c>
      <c r="V498" s="49" t="n">
        <v>2</v>
      </c>
      <c r="W498" s="50" t="n">
        <v>1</v>
      </c>
      <c r="X498" s="26" t="n">
        <v>5040070405</v>
      </c>
      <c r="Y498" s="26" t="n">
        <v>772201001</v>
      </c>
      <c r="Z498" s="26" t="inlineStr">
        <is>
          <t>ООО "ЛУИС+"</t>
        </is>
      </c>
      <c r="AA498" s="51" t="inlineStr">
        <is>
          <t>ГТ</t>
        </is>
      </c>
      <c r="AB498" s="188" t="n"/>
      <c r="AC498" s="189" t="n"/>
      <c r="AD498" s="190">
        <f>SUM(AB498:AC498)</f>
        <v/>
      </c>
      <c r="AE498" s="190">
        <f>AB498*$O498*$W498</f>
        <v/>
      </c>
      <c r="AF498" s="190">
        <f>AC498*$O498*$W498</f>
        <v/>
      </c>
      <c r="AG498" s="190">
        <f>SUM(AE498:AF498)</f>
        <v/>
      </c>
      <c r="AH498" s="182" t="n"/>
    </row>
    <row r="499" outlineLevel="1">
      <c r="A499" s="18" t="inlineStr">
        <is>
          <t>О</t>
        </is>
      </c>
      <c r="B499" s="11">
        <f>IF($K499=B$8,1+IF(OFFSET(B499,-1,0)="",0,OFFSET(B499,-1,0)),IF(B$8&lt;$K499,IF(OFFSET(B499,-1,0)="","ERR",OFFSET(B499,-1,0)),""))</f>
        <v/>
      </c>
      <c r="C499" s="11">
        <f>IF($K499=C$8,1+IF(OFFSET(C499,-1,0)="",0,OFFSET(C499,-1,0)),IF(C$8&lt;$K499,IF(OFFSET(C499,-1,0)="","ERR",OFFSET(C499,-1,0)),""))</f>
        <v/>
      </c>
      <c r="D499" s="11">
        <f>IF($K499=D$8,1+IF(OFFSET(D499,-1,0)="",0,OFFSET(D499,-1,0)),IF(D$8&lt;$K499,IF(OFFSET(D499,-1,0)="","ERR",OFFSET(D499,-1,0)),""))</f>
        <v/>
      </c>
      <c r="E499" s="11">
        <f>IF($K499=E$8,1+IF(OFFSET(E499,-1,0)="",0,OFFSET(E499,-1,0)),IF(E$8&lt;$K499,IF(OFFSET(E499,-1,0)="","ERR",OFFSET(E499,-1,0)),""))</f>
        <v/>
      </c>
      <c r="F499" s="11">
        <f>IF($K499=F$8,1+IF(OFFSET(F499,-1,0)="",0,OFFSET(F499,-1,0)),IF(F$8&lt;$K499,IF(OFFSET(F499,-1,0)="","ERR",OFFSET(F499,-1,0)),""))</f>
        <v/>
      </c>
      <c r="G499" s="11">
        <f>IF($K499=G$8,1+IF(OFFSET(G499,-1,0)="",0,OFFSET(G499,-1,0)),IF(G$8&lt;$K499,IF(OFFSET(G499,-1,0)="","ERR",OFFSET(G499,-1,0)),""))</f>
        <v/>
      </c>
      <c r="H499" s="11">
        <f>IF($K499=H$8,1+IF(OFFSET(H499,-1,0)="",0,OFFSET(H499,-1,0)),IF(H$8&lt;$K499,IF(OFFSET(H499,-1,0)="","ERR",OFFSET(H499,-1,0)),""))</f>
        <v/>
      </c>
      <c r="I499" s="11">
        <f>IF($K499=I$8,1+IF(OFFSET(I499,-1,0)="",0,OFFSET(I499,-1,0)),IF(I$8&lt;$K499,IF(OFFSET(I499,-1,0)="","ERR",OFFSET(I499,-1,0)),""))</f>
        <v/>
      </c>
      <c r="J499" s="49">
        <f>_xlfn.TEXTJOIN(".",1,B499:I499)</f>
        <v/>
      </c>
      <c r="K499" s="49" t="inlineStr">
        <is>
          <t>Л7</t>
        </is>
      </c>
      <c r="L499" s="49" t="n"/>
      <c r="M499" s="63" t="inlineStr">
        <is>
          <t>Источник вторичного электропитания резервированный , БР 24 2x40, ООО «РУБЕЖ»</t>
        </is>
      </c>
      <c r="N499" s="49" t="inlineStr">
        <is>
          <t>шт.</t>
        </is>
      </c>
      <c r="O499" s="50">
        <f>P499+Q499+S499+V499</f>
        <v/>
      </c>
      <c r="P499" s="49" t="n"/>
      <c r="Q499" s="49" t="n">
        <v>2</v>
      </c>
      <c r="R499" s="49" t="n">
        <v>2</v>
      </c>
      <c r="S499" s="49" t="n">
        <v>2</v>
      </c>
      <c r="T499" s="49" t="n">
        <v>2</v>
      </c>
      <c r="U499" s="49" t="n">
        <v>2</v>
      </c>
      <c r="V499" s="49" t="n">
        <v>2</v>
      </c>
      <c r="W499" s="50" t="n">
        <v>1</v>
      </c>
      <c r="X499" s="26" t="n">
        <v>1659174829</v>
      </c>
      <c r="Y499" s="26" t="n">
        <v>165901001</v>
      </c>
      <c r="Z499" s="26" t="inlineStr">
        <is>
          <t xml:space="preserve"> "ТК "РУТЕК"</t>
        </is>
      </c>
      <c r="AA499" s="51" t="inlineStr">
        <is>
          <t>ГТ</t>
        </is>
      </c>
      <c r="AB499" s="188" t="n"/>
      <c r="AC499" s="189" t="n"/>
      <c r="AD499" s="190">
        <f>SUM(AB499:AC499)</f>
        <v/>
      </c>
      <c r="AE499" s="190">
        <f>AB499*$O499*$W499</f>
        <v/>
      </c>
      <c r="AF499" s="190">
        <f>AC499*$O499*$W499</f>
        <v/>
      </c>
      <c r="AG499" s="190">
        <f>SUM(AE499:AF499)</f>
        <v/>
      </c>
      <c r="AH499" s="182" t="n"/>
    </row>
    <row r="500" outlineLevel="1">
      <c r="A500" s="18" t="inlineStr">
        <is>
          <t>О</t>
        </is>
      </c>
      <c r="B500" s="11">
        <f>IF($K500=B$8,1+IF(OFFSET(B500,-1,0)="",0,OFFSET(B500,-1,0)),IF(B$8&lt;$K500,IF(OFFSET(B500,-1,0)="","ERR",OFFSET(B500,-1,0)),""))</f>
        <v/>
      </c>
      <c r="C500" s="11">
        <f>IF($K500=C$8,1+IF(OFFSET(C500,-1,0)="",0,OFFSET(C500,-1,0)),IF(C$8&lt;$K500,IF(OFFSET(C500,-1,0)="","ERR",OFFSET(C500,-1,0)),""))</f>
        <v/>
      </c>
      <c r="D500" s="11">
        <f>IF($K500=D$8,1+IF(OFFSET(D500,-1,0)="",0,OFFSET(D500,-1,0)),IF(D$8&lt;$K500,IF(OFFSET(D500,-1,0)="","ERR",OFFSET(D500,-1,0)),""))</f>
        <v/>
      </c>
      <c r="E500" s="11">
        <f>IF($K500=E$8,1+IF(OFFSET(E500,-1,0)="",0,OFFSET(E500,-1,0)),IF(E$8&lt;$K500,IF(OFFSET(E500,-1,0)="","ERR",OFFSET(E500,-1,0)),""))</f>
        <v/>
      </c>
      <c r="F500" s="11">
        <f>IF($K500=F$8,1+IF(OFFSET(F500,-1,0)="",0,OFFSET(F500,-1,0)),IF(F$8&lt;$K500,IF(OFFSET(F500,-1,0)="","ERR",OFFSET(F500,-1,0)),""))</f>
        <v/>
      </c>
      <c r="G500" s="11">
        <f>IF($K500=G$8,1+IF(OFFSET(G500,-1,0)="",0,OFFSET(G500,-1,0)),IF(G$8&lt;$K500,IF(OFFSET(G500,-1,0)="","ERR",OFFSET(G500,-1,0)),""))</f>
        <v/>
      </c>
      <c r="H500" s="11">
        <f>IF($K500=H$8,1+IF(OFFSET(H500,-1,0)="",0,OFFSET(H500,-1,0)),IF(H$8&lt;$K500,IF(OFFSET(H500,-1,0)="","ERR",OFFSET(H500,-1,0)),""))</f>
        <v/>
      </c>
      <c r="I500" s="11">
        <f>IF($K500=I$8,1+IF(OFFSET(I500,-1,0)="",0,OFFSET(I500,-1,0)),IF(I$8&lt;$K500,IF(OFFSET(I500,-1,0)="","ERR",OFFSET(I500,-1,0)),""))</f>
        <v/>
      </c>
      <c r="J500" s="46">
        <f>_xlfn.TEXTJOIN(".",1,B500:I500)</f>
        <v/>
      </c>
      <c r="K500" s="46" t="inlineStr">
        <is>
          <t>Л7</t>
        </is>
      </c>
      <c r="L500" s="46" t="n"/>
      <c r="M500" s="64" t="inlineStr">
        <is>
          <t>Сопутствующие и прочие материалы*</t>
        </is>
      </c>
      <c r="N500" s="46" t="inlineStr">
        <is>
          <t>шт.</t>
        </is>
      </c>
      <c r="O500" s="94">
        <f>P500+Q500+S500+V500</f>
        <v/>
      </c>
      <c r="P500" s="46" t="n"/>
      <c r="Q500" s="46">
        <f>SUM(Q498:Q499)</f>
        <v/>
      </c>
      <c r="R500" s="46">
        <f>SUM(R498:R499)</f>
        <v/>
      </c>
      <c r="S500" s="46">
        <f>SUM(S498:S499)</f>
        <v/>
      </c>
      <c r="T500" s="46">
        <f>SUM(T498:T499)</f>
        <v/>
      </c>
      <c r="U500" s="46">
        <f>SUM(U498:U499)</f>
        <v/>
      </c>
      <c r="V500" s="46">
        <f>SUM(V498:V499)</f>
        <v/>
      </c>
      <c r="W500" s="46" t="n"/>
      <c r="X500" s="46" t="n"/>
      <c r="Y500" s="46" t="n"/>
      <c r="Z500" s="46" t="n"/>
      <c r="AA500" s="48" t="n"/>
      <c r="AB500" s="179" t="n"/>
      <c r="AC500" s="189" t="n"/>
      <c r="AD500" s="189">
        <f>SUM(AB500:AC500)</f>
        <v/>
      </c>
      <c r="AE500" s="189">
        <f>AB500*$O500</f>
        <v/>
      </c>
      <c r="AF500" s="189">
        <f>AC500*$O500</f>
        <v/>
      </c>
      <c r="AG500" s="189">
        <f>SUM(AE500:AF500)</f>
        <v/>
      </c>
      <c r="AH500" s="182" t="n"/>
    </row>
    <row r="501" outlineLevel="1">
      <c r="A501" s="18" t="inlineStr">
        <is>
          <t>О</t>
        </is>
      </c>
      <c r="B501" s="11">
        <f>IF($K501=B$8,1+IF(OFFSET(B501,-1,0)="",0,OFFSET(B501,-1,0)),IF(B$8&lt;$K501,IF(OFFSET(B501,-1,0)="","ERR",OFFSET(B501,-1,0)),""))</f>
        <v/>
      </c>
      <c r="C501" s="11">
        <f>IF($K501=C$8,1+IF(OFFSET(C501,-1,0)="",0,OFFSET(C501,-1,0)),IF(C$8&lt;$K501,IF(OFFSET(C501,-1,0)="","ERR",OFFSET(C501,-1,0)),""))</f>
        <v/>
      </c>
      <c r="D501" s="11">
        <f>IF($K501=D$8,1+IF(OFFSET(D501,-1,0)="",0,OFFSET(D501,-1,0)),IF(D$8&lt;$K501,IF(OFFSET(D501,-1,0)="","ERR",OFFSET(D501,-1,0)),""))</f>
        <v/>
      </c>
      <c r="E501" s="11">
        <f>IF($K501=E$8,1+IF(OFFSET(E501,-1,0)="",0,OFFSET(E501,-1,0)),IF(E$8&lt;$K501,IF(OFFSET(E501,-1,0)="","ERR",OFFSET(E501,-1,0)),""))</f>
        <v/>
      </c>
      <c r="F501" s="11">
        <f>IF($K501=F$8,1+IF(OFFSET(F501,-1,0)="",0,OFFSET(F501,-1,0)),IF(F$8&lt;$K501,IF(OFFSET(F501,-1,0)="","ERR",OFFSET(F501,-1,0)),""))</f>
        <v/>
      </c>
      <c r="G501" s="11">
        <f>IF($K501=G$8,1+IF(OFFSET(G501,-1,0)="",0,OFFSET(G501,-1,0)),IF(G$8&lt;$K501,IF(OFFSET(G501,-1,0)="","ERR",OFFSET(G501,-1,0)),""))</f>
        <v/>
      </c>
      <c r="H501" s="11">
        <f>IF($K501=H$8,1+IF(OFFSET(H501,-1,0)="",0,OFFSET(H501,-1,0)),IF(H$8&lt;$K501,IF(OFFSET(H501,-1,0)="","ERR",OFFSET(H501,-1,0)),""))</f>
        <v/>
      </c>
      <c r="I501" s="11">
        <f>IF($K501=I$8,1+IF(OFFSET(I501,-1,0)="",0,OFFSET(I501,-1,0)),IF(I$8&lt;$K501,IF(OFFSET(I501,-1,0)="","ERR",OFFSET(I501,-1,0)),""))</f>
        <v/>
      </c>
      <c r="J501" s="46">
        <f>_xlfn.TEXTJOIN(".",1,B501:I501)</f>
        <v/>
      </c>
      <c r="K501" s="46" t="inlineStr">
        <is>
          <t>Л6</t>
        </is>
      </c>
      <c r="L501" s="46" t="inlineStr">
        <is>
          <t>3.3.3.22.2.13</t>
        </is>
      </c>
      <c r="M501" s="47" t="inlineStr">
        <is>
          <t>Монтаж громкоговорителя настенного</t>
        </is>
      </c>
      <c r="N501" s="46" t="inlineStr">
        <is>
          <t>шт</t>
        </is>
      </c>
      <c r="O501" s="94">
        <f>P501+Q501+S501+V501</f>
        <v/>
      </c>
      <c r="P501" s="46" t="n"/>
      <c r="Q501" s="46" t="n">
        <v>60</v>
      </c>
      <c r="R501" s="46" t="n">
        <v>60</v>
      </c>
      <c r="S501" s="46" t="n">
        <v>83</v>
      </c>
      <c r="T501" s="46" t="n">
        <v>83</v>
      </c>
      <c r="U501" s="46" t="n">
        <v>95</v>
      </c>
      <c r="V501" s="46" t="n">
        <v>95</v>
      </c>
      <c r="W501" s="46" t="n"/>
      <c r="X501" s="46" t="n"/>
      <c r="Y501" s="46" t="n"/>
      <c r="Z501" s="46" t="n"/>
      <c r="AA501" s="48" t="n"/>
      <c r="AB501" s="187" t="n"/>
      <c r="AC501" s="180" t="n"/>
      <c r="AD501" s="189">
        <f>SUM(AB501:AC501)</f>
        <v/>
      </c>
      <c r="AE501" s="189">
        <f>AB501*$O501</f>
        <v/>
      </c>
      <c r="AF501" s="189">
        <f>AC501*$O501</f>
        <v/>
      </c>
      <c r="AG501" s="189">
        <f>SUM(AE501:AF501)</f>
        <v/>
      </c>
      <c r="AH501" s="182" t="n"/>
    </row>
    <row r="502" outlineLevel="1">
      <c r="A502" s="18" t="inlineStr">
        <is>
          <t>О</t>
        </is>
      </c>
      <c r="B502" s="11">
        <f>IF($K502=B$8,1+IF(OFFSET(B502,-1,0)="",0,OFFSET(B502,-1,0)),IF(B$8&lt;$K502,IF(OFFSET(B502,-1,0)="","ERR",OFFSET(B502,-1,0)),""))</f>
        <v/>
      </c>
      <c r="C502" s="11">
        <f>IF($K502=C$8,1+IF(OFFSET(C502,-1,0)="",0,OFFSET(C502,-1,0)),IF(C$8&lt;$K502,IF(OFFSET(C502,-1,0)="","ERR",OFFSET(C502,-1,0)),""))</f>
        <v/>
      </c>
      <c r="D502" s="11">
        <f>IF($K502=D$8,1+IF(OFFSET(D502,-1,0)="",0,OFFSET(D502,-1,0)),IF(D$8&lt;$K502,IF(OFFSET(D502,-1,0)="","ERR",OFFSET(D502,-1,0)),""))</f>
        <v/>
      </c>
      <c r="E502" s="11">
        <f>IF($K502=E$8,1+IF(OFFSET(E502,-1,0)="",0,OFFSET(E502,-1,0)),IF(E$8&lt;$K502,IF(OFFSET(E502,-1,0)="","ERR",OFFSET(E502,-1,0)),""))</f>
        <v/>
      </c>
      <c r="F502" s="11">
        <f>IF($K502=F$8,1+IF(OFFSET(F502,-1,0)="",0,OFFSET(F502,-1,0)),IF(F$8&lt;$K502,IF(OFFSET(F502,-1,0)="","ERR",OFFSET(F502,-1,0)),""))</f>
        <v/>
      </c>
      <c r="G502" s="11">
        <f>IF($K502=G$8,1+IF(OFFSET(G502,-1,0)="",0,OFFSET(G502,-1,0)),IF(G$8&lt;$K502,IF(OFFSET(G502,-1,0)="","ERR",OFFSET(G502,-1,0)),""))</f>
        <v/>
      </c>
      <c r="H502" s="11">
        <f>IF($K502=H$8,1+IF(OFFSET(H502,-1,0)="",0,OFFSET(H502,-1,0)),IF(H$8&lt;$K502,IF(OFFSET(H502,-1,0)="","ERR",OFFSET(H502,-1,0)),""))</f>
        <v/>
      </c>
      <c r="I502" s="11">
        <f>IF($K502=I$8,1+IF(OFFSET(I502,-1,0)="",0,OFFSET(I502,-1,0)),IF(I$8&lt;$K502,IF(OFFSET(I502,-1,0)="","ERR",OFFSET(I502,-1,0)),""))</f>
        <v/>
      </c>
      <c r="J502" s="49">
        <f>_xlfn.TEXTJOIN(".",1,B502:I502)</f>
        <v/>
      </c>
      <c r="K502" s="49" t="inlineStr">
        <is>
          <t>Л7</t>
        </is>
      </c>
      <c r="L502" s="49" t="n"/>
      <c r="M502" s="63" t="inlineStr">
        <is>
          <t>Широкополосный настенный громкоговоритель, LPA-6W, "LPA"</t>
        </is>
      </c>
      <c r="N502" s="49" t="inlineStr">
        <is>
          <t>шт.</t>
        </is>
      </c>
      <c r="O502" s="50">
        <f>P502+Q502+S502+V502</f>
        <v/>
      </c>
      <c r="P502" s="49" t="n"/>
      <c r="Q502" s="49" t="n">
        <v>60</v>
      </c>
      <c r="R502" s="49" t="n">
        <v>60</v>
      </c>
      <c r="S502" s="49" t="n">
        <v>83</v>
      </c>
      <c r="T502" s="49" t="n">
        <v>83</v>
      </c>
      <c r="U502" s="49" t="n">
        <v>95</v>
      </c>
      <c r="V502" s="49" t="n">
        <v>95</v>
      </c>
      <c r="W502" s="50" t="n">
        <v>1</v>
      </c>
      <c r="X502" s="26" t="n">
        <v>5040070405</v>
      </c>
      <c r="Y502" s="26" t="n">
        <v>772201001</v>
      </c>
      <c r="Z502" s="26" t="inlineStr">
        <is>
          <t>ООО "ЛУИС+"</t>
        </is>
      </c>
      <c r="AA502" s="51" t="inlineStr">
        <is>
          <t>ГТ</t>
        </is>
      </c>
      <c r="AB502" s="188" t="n"/>
      <c r="AC502" s="189" t="n"/>
      <c r="AD502" s="190">
        <f>SUM(AB502:AC502)</f>
        <v/>
      </c>
      <c r="AE502" s="190">
        <f>AB502*$O502*$W502</f>
        <v/>
      </c>
      <c r="AF502" s="190">
        <f>AC502*$O502*$W502</f>
        <v/>
      </c>
      <c r="AG502" s="190">
        <f>SUM(AE502:AF502)</f>
        <v/>
      </c>
      <c r="AH502" s="182" t="n"/>
    </row>
    <row r="503" outlineLevel="1">
      <c r="A503" s="18" t="inlineStr">
        <is>
          <t>О</t>
        </is>
      </c>
      <c r="B503" s="11">
        <f>IF($K503=B$8,1+IF(OFFSET(B503,-1,0)="",0,OFFSET(B503,-1,0)),IF(B$8&lt;$K503,IF(OFFSET(B503,-1,0)="","ERR",OFFSET(B503,-1,0)),""))</f>
        <v/>
      </c>
      <c r="C503" s="11">
        <f>IF($K503=C$8,1+IF(OFFSET(C503,-1,0)="",0,OFFSET(C503,-1,0)),IF(C$8&lt;$K503,IF(OFFSET(C503,-1,0)="","ERR",OFFSET(C503,-1,0)),""))</f>
        <v/>
      </c>
      <c r="D503" s="11">
        <f>IF($K503=D$8,1+IF(OFFSET(D503,-1,0)="",0,OFFSET(D503,-1,0)),IF(D$8&lt;$K503,IF(OFFSET(D503,-1,0)="","ERR",OFFSET(D503,-1,0)),""))</f>
        <v/>
      </c>
      <c r="E503" s="11">
        <f>IF($K503=E$8,1+IF(OFFSET(E503,-1,0)="",0,OFFSET(E503,-1,0)),IF(E$8&lt;$K503,IF(OFFSET(E503,-1,0)="","ERR",OFFSET(E503,-1,0)),""))</f>
        <v/>
      </c>
      <c r="F503" s="11">
        <f>IF($K503=F$8,1+IF(OFFSET(F503,-1,0)="",0,OFFSET(F503,-1,0)),IF(F$8&lt;$K503,IF(OFFSET(F503,-1,0)="","ERR",OFFSET(F503,-1,0)),""))</f>
        <v/>
      </c>
      <c r="G503" s="11">
        <f>IF($K503=G$8,1+IF(OFFSET(G503,-1,0)="",0,OFFSET(G503,-1,0)),IF(G$8&lt;$K503,IF(OFFSET(G503,-1,0)="","ERR",OFFSET(G503,-1,0)),""))</f>
        <v/>
      </c>
      <c r="H503" s="11">
        <f>IF($K503=H$8,1+IF(OFFSET(H503,-1,0)="",0,OFFSET(H503,-1,0)),IF(H$8&lt;$K503,IF(OFFSET(H503,-1,0)="","ERR",OFFSET(H503,-1,0)),""))</f>
        <v/>
      </c>
      <c r="I503" s="11">
        <f>IF($K503=I$8,1+IF(OFFSET(I503,-1,0)="",0,OFFSET(I503,-1,0)),IF(I$8&lt;$K503,IF(OFFSET(I503,-1,0)="","ERR",OFFSET(I503,-1,0)),""))</f>
        <v/>
      </c>
      <c r="J503" s="46">
        <f>_xlfn.TEXTJOIN(".",1,B503:I503)</f>
        <v/>
      </c>
      <c r="K503" s="46" t="inlineStr">
        <is>
          <t>Л7</t>
        </is>
      </c>
      <c r="L503" s="46" t="n"/>
      <c r="M503" s="64" t="inlineStr">
        <is>
          <t>Сопутствующие и прочие материалы*</t>
        </is>
      </c>
      <c r="N503" s="46" t="inlineStr">
        <is>
          <t>шт</t>
        </is>
      </c>
      <c r="O503" s="94">
        <f>P503+Q503+S503+V503</f>
        <v/>
      </c>
      <c r="P503" s="46" t="n"/>
      <c r="Q503" s="46" t="n">
        <v>60</v>
      </c>
      <c r="R503" s="46" t="n">
        <v>60</v>
      </c>
      <c r="S503" s="46" t="n">
        <v>83</v>
      </c>
      <c r="T503" s="46" t="n">
        <v>83</v>
      </c>
      <c r="U503" s="46" t="n">
        <v>95</v>
      </c>
      <c r="V503" s="46" t="n">
        <v>95</v>
      </c>
      <c r="W503" s="46" t="n"/>
      <c r="X503" s="46" t="n"/>
      <c r="Y503" s="46" t="n"/>
      <c r="Z503" s="46" t="n"/>
      <c r="AA503" s="48" t="n"/>
      <c r="AB503" s="198" t="n"/>
      <c r="AC503" s="189" t="n"/>
      <c r="AD503" s="189">
        <f>SUM(AB503:AC503)</f>
        <v/>
      </c>
      <c r="AE503" s="189">
        <f>AB503*$O503</f>
        <v/>
      </c>
      <c r="AF503" s="189">
        <f>AC503*$O503</f>
        <v/>
      </c>
      <c r="AG503" s="189">
        <f>SUM(AE503:AF503)</f>
        <v/>
      </c>
      <c r="AH503" s="182" t="n"/>
    </row>
    <row r="504" outlineLevel="1">
      <c r="A504" s="18" t="inlineStr">
        <is>
          <t>О</t>
        </is>
      </c>
      <c r="B504" s="11">
        <f>IF($K504=B$8,1+IF(OFFSET(B504,-1,0)="",0,OFFSET(B504,-1,0)),IF(B$8&lt;$K504,IF(OFFSET(B504,-1,0)="","ERR",OFFSET(B504,-1,0)),""))</f>
        <v/>
      </c>
      <c r="C504" s="11">
        <f>IF($K504=C$8,1+IF(OFFSET(C504,-1,0)="",0,OFFSET(C504,-1,0)),IF(C$8&lt;$K504,IF(OFFSET(C504,-1,0)="","ERR",OFFSET(C504,-1,0)),""))</f>
        <v/>
      </c>
      <c r="D504" s="11">
        <f>IF($K504=D$8,1+IF(OFFSET(D504,-1,0)="",0,OFFSET(D504,-1,0)),IF(D$8&lt;$K504,IF(OFFSET(D504,-1,0)="","ERR",OFFSET(D504,-1,0)),""))</f>
        <v/>
      </c>
      <c r="E504" s="11">
        <f>IF($K504=E$8,1+IF(OFFSET(E504,-1,0)="",0,OFFSET(E504,-1,0)),IF(E$8&lt;$K504,IF(OFFSET(E504,-1,0)="","ERR",OFFSET(E504,-1,0)),""))</f>
        <v/>
      </c>
      <c r="F504" s="11">
        <f>IF($K504=F$8,1+IF(OFFSET(F504,-1,0)="",0,OFFSET(F504,-1,0)),IF(F$8&lt;$K504,IF(OFFSET(F504,-1,0)="","ERR",OFFSET(F504,-1,0)),""))</f>
        <v/>
      </c>
      <c r="G504" s="11">
        <f>IF($K504=G$8,1+IF(OFFSET(G504,-1,0)="",0,OFFSET(G504,-1,0)),IF(G$8&lt;$K504,IF(OFFSET(G504,-1,0)="","ERR",OFFSET(G504,-1,0)),""))</f>
        <v/>
      </c>
      <c r="H504" s="11">
        <f>IF($K504=H$8,1+IF(OFFSET(H504,-1,0)="",0,OFFSET(H504,-1,0)),IF(H$8&lt;$K504,IF(OFFSET(H504,-1,0)="","ERR",OFFSET(H504,-1,0)),""))</f>
        <v/>
      </c>
      <c r="I504" s="11">
        <f>IF($K504=I$8,1+IF(OFFSET(I504,-1,0)="",0,OFFSET(I504,-1,0)),IF(I$8&lt;$K504,IF(OFFSET(I504,-1,0)="","ERR",OFFSET(I504,-1,0)),""))</f>
        <v/>
      </c>
      <c r="J504" s="46">
        <f>_xlfn.TEXTJOIN(".",1,B504:I504)</f>
        <v/>
      </c>
      <c r="K504" s="46" t="inlineStr">
        <is>
          <t>Л6</t>
        </is>
      </c>
      <c r="L504" s="46" t="inlineStr">
        <is>
          <t>3.3.3.22.2.14</t>
        </is>
      </c>
      <c r="M504" s="47" t="inlineStr">
        <is>
          <t>Монтаж громкоговорителя потолочного</t>
        </is>
      </c>
      <c r="N504" s="46" t="inlineStr">
        <is>
          <t>шт</t>
        </is>
      </c>
      <c r="O504" s="94">
        <f>P504+Q504+S504+V504</f>
        <v/>
      </c>
      <c r="P504" s="46" t="n"/>
      <c r="Q504" s="46">
        <f>SUM(Q505:Q506)</f>
        <v/>
      </c>
      <c r="R504" s="46">
        <f>SUM(R505:R506)</f>
        <v/>
      </c>
      <c r="S504" s="46">
        <f>SUM(S505:S506)</f>
        <v/>
      </c>
      <c r="T504" s="46">
        <f>SUM(T505:T506)</f>
        <v/>
      </c>
      <c r="U504" s="46">
        <f>SUM(U505:U506)</f>
        <v/>
      </c>
      <c r="V504" s="46">
        <f>SUM(V505:V506)</f>
        <v/>
      </c>
      <c r="W504" s="46" t="n"/>
      <c r="X504" s="46" t="n"/>
      <c r="Y504" s="46" t="n"/>
      <c r="Z504" s="46" t="n"/>
      <c r="AA504" s="48" t="n"/>
      <c r="AB504" s="187" t="n"/>
      <c r="AC504" s="180" t="n"/>
      <c r="AD504" s="189">
        <f>SUM(AB504:AC504)</f>
        <v/>
      </c>
      <c r="AE504" s="189">
        <f>AB504*$O504</f>
        <v/>
      </c>
      <c r="AF504" s="189">
        <f>AC504*$O504</f>
        <v/>
      </c>
      <c r="AG504" s="189">
        <f>SUM(AE504:AF504)</f>
        <v/>
      </c>
      <c r="AH504" s="182" t="n"/>
    </row>
    <row r="505" outlineLevel="1">
      <c r="A505" s="18" t="inlineStr">
        <is>
          <t>О</t>
        </is>
      </c>
      <c r="B505" s="11">
        <f>IF($K505=B$8,1+IF(OFFSET(B505,-1,0)="",0,OFFSET(B505,-1,0)),IF(B$8&lt;$K505,IF(OFFSET(B505,-1,0)="","ERR",OFFSET(B505,-1,0)),""))</f>
        <v/>
      </c>
      <c r="C505" s="11">
        <f>IF($K505=C$8,1+IF(OFFSET(C505,-1,0)="",0,OFFSET(C505,-1,0)),IF(C$8&lt;$K505,IF(OFFSET(C505,-1,0)="","ERR",OFFSET(C505,-1,0)),""))</f>
        <v/>
      </c>
      <c r="D505" s="11">
        <f>IF($K505=D$8,1+IF(OFFSET(D505,-1,0)="",0,OFFSET(D505,-1,0)),IF(D$8&lt;$K505,IF(OFFSET(D505,-1,0)="","ERR",OFFSET(D505,-1,0)),""))</f>
        <v/>
      </c>
      <c r="E505" s="11">
        <f>IF($K505=E$8,1+IF(OFFSET(E505,-1,0)="",0,OFFSET(E505,-1,0)),IF(E$8&lt;$K505,IF(OFFSET(E505,-1,0)="","ERR",OFFSET(E505,-1,0)),""))</f>
        <v/>
      </c>
      <c r="F505" s="11">
        <f>IF($K505=F$8,1+IF(OFFSET(F505,-1,0)="",0,OFFSET(F505,-1,0)),IF(F$8&lt;$K505,IF(OFFSET(F505,-1,0)="","ERR",OFFSET(F505,-1,0)),""))</f>
        <v/>
      </c>
      <c r="G505" s="11">
        <f>IF($K505=G$8,1+IF(OFFSET(G505,-1,0)="",0,OFFSET(G505,-1,0)),IF(G$8&lt;$K505,IF(OFFSET(G505,-1,0)="","ERR",OFFSET(G505,-1,0)),""))</f>
        <v/>
      </c>
      <c r="H505" s="11">
        <f>IF($K505=H$8,1+IF(OFFSET(H505,-1,0)="",0,OFFSET(H505,-1,0)),IF(H$8&lt;$K505,IF(OFFSET(H505,-1,0)="","ERR",OFFSET(H505,-1,0)),""))</f>
        <v/>
      </c>
      <c r="I505" s="11">
        <f>IF($K505=I$8,1+IF(OFFSET(I505,-1,0)="",0,OFFSET(I505,-1,0)),IF(I$8&lt;$K505,IF(OFFSET(I505,-1,0)="","ERR",OFFSET(I505,-1,0)),""))</f>
        <v/>
      </c>
      <c r="J505" s="49">
        <f>_xlfn.TEXTJOIN(".",1,B505:I505)</f>
        <v/>
      </c>
      <c r="K505" s="49" t="inlineStr">
        <is>
          <t>Л7</t>
        </is>
      </c>
      <c r="L505" s="49" t="n"/>
      <c r="M505" s="63" t="inlineStr">
        <is>
          <t>Широкополосный потолочный громкоговоритель, LPA-6C, LPA</t>
        </is>
      </c>
      <c r="N505" s="49" t="inlineStr">
        <is>
          <t>шт.</t>
        </is>
      </c>
      <c r="O505" s="50">
        <f>P505+Q505+S505+V505</f>
        <v/>
      </c>
      <c r="P505" s="49" t="n"/>
      <c r="Q505" s="49" t="n">
        <v>4</v>
      </c>
      <c r="R505" s="49" t="n">
        <v>4</v>
      </c>
      <c r="S505" s="49" t="n">
        <v>4</v>
      </c>
      <c r="T505" s="49" t="n">
        <v>4</v>
      </c>
      <c r="U505" s="49" t="n">
        <v>4</v>
      </c>
      <c r="V505" s="49" t="n">
        <v>4</v>
      </c>
      <c r="W505" s="50" t="n">
        <v>1</v>
      </c>
      <c r="X505" s="26" t="n">
        <v>5040070405</v>
      </c>
      <c r="Y505" s="26" t="n">
        <v>772201001</v>
      </c>
      <c r="Z505" s="26" t="inlineStr">
        <is>
          <t>ООО "ЛУИС+"</t>
        </is>
      </c>
      <c r="AA505" s="51" t="inlineStr">
        <is>
          <t>ГТ</t>
        </is>
      </c>
      <c r="AB505" s="188" t="n"/>
      <c r="AC505" s="189" t="n"/>
      <c r="AD505" s="190">
        <f>SUM(AB505:AC505)</f>
        <v/>
      </c>
      <c r="AE505" s="190">
        <f>AB505*$O505*$W505</f>
        <v/>
      </c>
      <c r="AF505" s="190">
        <f>AC505*$O505*$W505</f>
        <v/>
      </c>
      <c r="AG505" s="190">
        <f>SUM(AE505:AF505)</f>
        <v/>
      </c>
      <c r="AH505" s="182" t="n"/>
    </row>
    <row r="506" outlineLevel="1">
      <c r="A506" s="18" t="inlineStr">
        <is>
          <t>О</t>
        </is>
      </c>
      <c r="B506" s="11">
        <f>IF($K506=B$8,1+IF(OFFSET(B506,-1,0)="",0,OFFSET(B506,-1,0)),IF(B$8&lt;$K506,IF(OFFSET(B506,-1,0)="","ERR",OFFSET(B506,-1,0)),""))</f>
        <v/>
      </c>
      <c r="C506" s="11">
        <f>IF($K506=C$8,1+IF(OFFSET(C506,-1,0)="",0,OFFSET(C506,-1,0)),IF(C$8&lt;$K506,IF(OFFSET(C506,-1,0)="","ERR",OFFSET(C506,-1,0)),""))</f>
        <v/>
      </c>
      <c r="D506" s="11">
        <f>IF($K506=D$8,1+IF(OFFSET(D506,-1,0)="",0,OFFSET(D506,-1,0)),IF(D$8&lt;$K506,IF(OFFSET(D506,-1,0)="","ERR",OFFSET(D506,-1,0)),""))</f>
        <v/>
      </c>
      <c r="E506" s="11">
        <f>IF($K506=E$8,1+IF(OFFSET(E506,-1,0)="",0,OFFSET(E506,-1,0)),IF(E$8&lt;$K506,IF(OFFSET(E506,-1,0)="","ERR",OFFSET(E506,-1,0)),""))</f>
        <v/>
      </c>
      <c r="F506" s="11">
        <f>IF($K506=F$8,1+IF(OFFSET(F506,-1,0)="",0,OFFSET(F506,-1,0)),IF(F$8&lt;$K506,IF(OFFSET(F506,-1,0)="","ERR",OFFSET(F506,-1,0)),""))</f>
        <v/>
      </c>
      <c r="G506" s="11">
        <f>IF($K506=G$8,1+IF(OFFSET(G506,-1,0)="",0,OFFSET(G506,-1,0)),IF(G$8&lt;$K506,IF(OFFSET(G506,-1,0)="","ERR",OFFSET(G506,-1,0)),""))</f>
        <v/>
      </c>
      <c r="H506" s="11">
        <f>IF($K506=H$8,1+IF(OFFSET(H506,-1,0)="",0,OFFSET(H506,-1,0)),IF(H$8&lt;$K506,IF(OFFSET(H506,-1,0)="","ERR",OFFSET(H506,-1,0)),""))</f>
        <v/>
      </c>
      <c r="I506" s="11">
        <f>IF($K506=I$8,1+IF(OFFSET(I506,-1,0)="",0,OFFSET(I506,-1,0)),IF(I$8&lt;$K506,IF(OFFSET(I506,-1,0)="","ERR",OFFSET(I506,-1,0)),""))</f>
        <v/>
      </c>
      <c r="J506" s="49">
        <f>_xlfn.TEXTJOIN(".",1,B506:I506)</f>
        <v/>
      </c>
      <c r="K506" s="49" t="inlineStr">
        <is>
          <t>Л7</t>
        </is>
      </c>
      <c r="L506" s="49" t="n"/>
      <c r="M506" s="63" t="inlineStr">
        <is>
          <t>Рупорный громкоговоритель, LPA-10Н</t>
        </is>
      </c>
      <c r="N506" s="49" t="inlineStr">
        <is>
          <t>шт.</t>
        </is>
      </c>
      <c r="O506" s="50">
        <f>P506+Q506+S506+V506</f>
        <v/>
      </c>
      <c r="P506" s="49" t="n"/>
      <c r="Q506" s="49" t="n">
        <v>65</v>
      </c>
      <c r="R506" s="49" t="n">
        <v>65</v>
      </c>
      <c r="S506" s="49" t="n">
        <v>46</v>
      </c>
      <c r="T506" s="49" t="n">
        <v>46</v>
      </c>
      <c r="U506" s="49" t="n">
        <v>83</v>
      </c>
      <c r="V506" s="49" t="n">
        <v>83</v>
      </c>
      <c r="W506" s="50" t="n">
        <v>1</v>
      </c>
      <c r="X506" s="26" t="n">
        <v>5040070405</v>
      </c>
      <c r="Y506" s="26" t="n">
        <v>772201001</v>
      </c>
      <c r="Z506" s="26" t="inlineStr">
        <is>
          <t>ООО "ЛУИС+"</t>
        </is>
      </c>
      <c r="AA506" s="51" t="inlineStr">
        <is>
          <t>ГТ</t>
        </is>
      </c>
      <c r="AB506" s="188" t="n"/>
      <c r="AC506" s="189" t="n"/>
      <c r="AD506" s="190">
        <f>SUM(AB506:AC506)</f>
        <v/>
      </c>
      <c r="AE506" s="190">
        <f>AB506*$O506*$W506</f>
        <v/>
      </c>
      <c r="AF506" s="190">
        <f>AC506*$O506*$W506</f>
        <v/>
      </c>
      <c r="AG506" s="190">
        <f>SUM(AE506:AF506)</f>
        <v/>
      </c>
      <c r="AH506" s="182" t="n"/>
    </row>
    <row r="507" outlineLevel="1">
      <c r="A507" s="18" t="inlineStr">
        <is>
          <t>О</t>
        </is>
      </c>
      <c r="B507" s="11">
        <f>IF($K507=B$8,1+IF(OFFSET(B507,-1,0)="",0,OFFSET(B507,-1,0)),IF(B$8&lt;$K507,IF(OFFSET(B507,-1,0)="","ERR",OFFSET(B507,-1,0)),""))</f>
        <v/>
      </c>
      <c r="C507" s="11">
        <f>IF($K507=C$8,1+IF(OFFSET(C507,-1,0)="",0,OFFSET(C507,-1,0)),IF(C$8&lt;$K507,IF(OFFSET(C507,-1,0)="","ERR",OFFSET(C507,-1,0)),""))</f>
        <v/>
      </c>
      <c r="D507" s="11">
        <f>IF($K507=D$8,1+IF(OFFSET(D507,-1,0)="",0,OFFSET(D507,-1,0)),IF(D$8&lt;$K507,IF(OFFSET(D507,-1,0)="","ERR",OFFSET(D507,-1,0)),""))</f>
        <v/>
      </c>
      <c r="E507" s="11">
        <f>IF($K507=E$8,1+IF(OFFSET(E507,-1,0)="",0,OFFSET(E507,-1,0)),IF(E$8&lt;$K507,IF(OFFSET(E507,-1,0)="","ERR",OFFSET(E507,-1,0)),""))</f>
        <v/>
      </c>
      <c r="F507" s="11">
        <f>IF($K507=F$8,1+IF(OFFSET(F507,-1,0)="",0,OFFSET(F507,-1,0)),IF(F$8&lt;$K507,IF(OFFSET(F507,-1,0)="","ERR",OFFSET(F507,-1,0)),""))</f>
        <v/>
      </c>
      <c r="G507" s="11">
        <f>IF($K507=G$8,1+IF(OFFSET(G507,-1,0)="",0,OFFSET(G507,-1,0)),IF(G$8&lt;$K507,IF(OFFSET(G507,-1,0)="","ERR",OFFSET(G507,-1,0)),""))</f>
        <v/>
      </c>
      <c r="H507" s="11">
        <f>IF($K507=H$8,1+IF(OFFSET(H507,-1,0)="",0,OFFSET(H507,-1,0)),IF(H$8&lt;$K507,IF(OFFSET(H507,-1,0)="","ERR",OFFSET(H507,-1,0)),""))</f>
        <v/>
      </c>
      <c r="I507" s="11">
        <f>IF($K507=I$8,1+IF(OFFSET(I507,-1,0)="",0,OFFSET(I507,-1,0)),IF(I$8&lt;$K507,IF(OFFSET(I507,-1,0)="","ERR",OFFSET(I507,-1,0)),""))</f>
        <v/>
      </c>
      <c r="J507" s="46">
        <f>_xlfn.TEXTJOIN(".",1,B507:I507)</f>
        <v/>
      </c>
      <c r="K507" s="46" t="inlineStr">
        <is>
          <t>Л7</t>
        </is>
      </c>
      <c r="L507" s="46" t="n"/>
      <c r="M507" s="64" t="inlineStr">
        <is>
          <t>Сопутствующие и прочие материалы*</t>
        </is>
      </c>
      <c r="N507" s="46" t="inlineStr">
        <is>
          <t>шт</t>
        </is>
      </c>
      <c r="O507" s="94">
        <f>P507+Q507+S507+V507</f>
        <v/>
      </c>
      <c r="P507" s="46" t="n"/>
      <c r="Q507" s="46">
        <f>SUM(Q505:Q506)</f>
        <v/>
      </c>
      <c r="R507" s="46">
        <f>SUM(R505:R506)</f>
        <v/>
      </c>
      <c r="S507" s="46">
        <f>SUM(S505:S506)</f>
        <v/>
      </c>
      <c r="T507" s="46">
        <f>SUM(T505:T506)</f>
        <v/>
      </c>
      <c r="U507" s="46">
        <f>SUM(U505:U506)</f>
        <v/>
      </c>
      <c r="V507" s="46">
        <f>SUM(V505:V506)</f>
        <v/>
      </c>
      <c r="W507" s="46" t="n"/>
      <c r="X507" s="46" t="n"/>
      <c r="Y507" s="46" t="n"/>
      <c r="Z507" s="46" t="n"/>
      <c r="AA507" s="48" t="n"/>
      <c r="AB507" s="179" t="n"/>
      <c r="AC507" s="189" t="n"/>
      <c r="AD507" s="189">
        <f>SUM(AB507:AC507)</f>
        <v/>
      </c>
      <c r="AE507" s="189">
        <f>AB507*$O507</f>
        <v/>
      </c>
      <c r="AF507" s="189">
        <f>AC507*$O507</f>
        <v/>
      </c>
      <c r="AG507" s="189">
        <f>SUM(AE507:AF507)</f>
        <v/>
      </c>
      <c r="AH507" s="182" t="n"/>
    </row>
    <row r="508" outlineLevel="1">
      <c r="A508" s="18" t="inlineStr">
        <is>
          <t>О</t>
        </is>
      </c>
      <c r="B508" s="11">
        <f>IF($K508=B$8,1+IF(OFFSET(B508,-1,0)="",0,OFFSET(B508,-1,0)),IF(B$8&lt;$K508,IF(OFFSET(B508,-1,0)="","ERR",OFFSET(B508,-1,0)),""))</f>
        <v/>
      </c>
      <c r="C508" s="11">
        <f>IF($K508=C$8,1+IF(OFFSET(C508,-1,0)="",0,OFFSET(C508,-1,0)),IF(C$8&lt;$K508,IF(OFFSET(C508,-1,0)="","ERR",OFFSET(C508,-1,0)),""))</f>
        <v/>
      </c>
      <c r="D508" s="11">
        <f>IF($K508=D$8,1+IF(OFFSET(D508,-1,0)="",0,OFFSET(D508,-1,0)),IF(D$8&lt;$K508,IF(OFFSET(D508,-1,0)="","ERR",OFFSET(D508,-1,0)),""))</f>
        <v/>
      </c>
      <c r="E508" s="11">
        <f>IF($K508=E$8,1+IF(OFFSET(E508,-1,0)="",0,OFFSET(E508,-1,0)),IF(E$8&lt;$K508,IF(OFFSET(E508,-1,0)="","ERR",OFFSET(E508,-1,0)),""))</f>
        <v/>
      </c>
      <c r="F508" s="11">
        <f>IF($K508=F$8,1+IF(OFFSET(F508,-1,0)="",0,OFFSET(F508,-1,0)),IF(F$8&lt;$K508,IF(OFFSET(F508,-1,0)="","ERR",OFFSET(F508,-1,0)),""))</f>
        <v/>
      </c>
      <c r="G508" s="11">
        <f>IF($K508=G$8,1+IF(OFFSET(G508,-1,0)="",0,OFFSET(G508,-1,0)),IF(G$8&lt;$K508,IF(OFFSET(G508,-1,0)="","ERR",OFFSET(G508,-1,0)),""))</f>
        <v/>
      </c>
      <c r="H508" s="11">
        <f>IF($K508=H$8,1+IF(OFFSET(H508,-1,0)="",0,OFFSET(H508,-1,0)),IF(H$8&lt;$K508,IF(OFFSET(H508,-1,0)="","ERR",OFFSET(H508,-1,0)),""))</f>
        <v/>
      </c>
      <c r="I508" s="11">
        <f>IF($K508=I$8,1+IF(OFFSET(I508,-1,0)="",0,OFFSET(I508,-1,0)),IF(I$8&lt;$K508,IF(OFFSET(I508,-1,0)="","ERR",OFFSET(I508,-1,0)),""))</f>
        <v/>
      </c>
      <c r="J508" s="46">
        <f>_xlfn.TEXTJOIN(".",1,B508:I508)</f>
        <v/>
      </c>
      <c r="K508" s="46" t="inlineStr">
        <is>
          <t>Л6</t>
        </is>
      </c>
      <c r="L508" s="46" t="inlineStr">
        <is>
          <t>3.3.3.22.2.15</t>
        </is>
      </c>
      <c r="M508" s="47" t="inlineStr">
        <is>
          <t>Монтаж оповещателя светового</t>
        </is>
      </c>
      <c r="N508" s="46" t="inlineStr">
        <is>
          <t>шт</t>
        </is>
      </c>
      <c r="O508" s="94">
        <f>P508+Q508+S508+V508</f>
        <v/>
      </c>
      <c r="P508" s="46" t="n"/>
      <c r="Q508" s="46">
        <f>SUM(Q509:Q516)</f>
        <v/>
      </c>
      <c r="R508" s="46">
        <f>SUM(R509:R516)</f>
        <v/>
      </c>
      <c r="S508" s="46">
        <f>SUM(S509:S516)</f>
        <v/>
      </c>
      <c r="T508" s="46">
        <f>SUM(T509:T516)</f>
        <v/>
      </c>
      <c r="U508" s="46">
        <f>SUM(U509:U516)</f>
        <v/>
      </c>
      <c r="V508" s="46">
        <f>SUM(V509:V516)</f>
        <v/>
      </c>
      <c r="W508" s="46" t="n"/>
      <c r="X508" s="46" t="n"/>
      <c r="Y508" s="46" t="n"/>
      <c r="Z508" s="46" t="n"/>
      <c r="AA508" s="48" t="n"/>
      <c r="AB508" s="187" t="n"/>
      <c r="AC508" s="180" t="n"/>
      <c r="AD508" s="189">
        <f>SUM(AB508:AC508)</f>
        <v/>
      </c>
      <c r="AE508" s="189">
        <f>AB508*$O508</f>
        <v/>
      </c>
      <c r="AF508" s="189">
        <f>AC508*$O508</f>
        <v/>
      </c>
      <c r="AG508" s="189">
        <f>SUM(AE508:AF508)</f>
        <v/>
      </c>
      <c r="AH508" s="182" t="n"/>
    </row>
    <row r="509" outlineLevel="1">
      <c r="A509" s="18" t="inlineStr">
        <is>
          <t>О</t>
        </is>
      </c>
      <c r="B509" s="11">
        <f>IF($K509=B$8,1+IF(OFFSET(B509,-1,0)="",0,OFFSET(B509,-1,0)),IF(B$8&lt;$K509,IF(OFFSET(B509,-1,0)="","ERR",OFFSET(B509,-1,0)),""))</f>
        <v/>
      </c>
      <c r="C509" s="11">
        <f>IF($K509=C$8,1+IF(OFFSET(C509,-1,0)="",0,OFFSET(C509,-1,0)),IF(C$8&lt;$K509,IF(OFFSET(C509,-1,0)="","ERR",OFFSET(C509,-1,0)),""))</f>
        <v/>
      </c>
      <c r="D509" s="11">
        <f>IF($K509=D$8,1+IF(OFFSET(D509,-1,0)="",0,OFFSET(D509,-1,0)),IF(D$8&lt;$K509,IF(OFFSET(D509,-1,0)="","ERR",OFFSET(D509,-1,0)),""))</f>
        <v/>
      </c>
      <c r="E509" s="11">
        <f>IF($K509=E$8,1+IF(OFFSET(E509,-1,0)="",0,OFFSET(E509,-1,0)),IF(E$8&lt;$K509,IF(OFFSET(E509,-1,0)="","ERR",OFFSET(E509,-1,0)),""))</f>
        <v/>
      </c>
      <c r="F509" s="11">
        <f>IF($K509=F$8,1+IF(OFFSET(F509,-1,0)="",0,OFFSET(F509,-1,0)),IF(F$8&lt;$K509,IF(OFFSET(F509,-1,0)="","ERR",OFFSET(F509,-1,0)),""))</f>
        <v/>
      </c>
      <c r="G509" s="11">
        <f>IF($K509=G$8,1+IF(OFFSET(G509,-1,0)="",0,OFFSET(G509,-1,0)),IF(G$8&lt;$K509,IF(OFFSET(G509,-1,0)="","ERR",OFFSET(G509,-1,0)),""))</f>
        <v/>
      </c>
      <c r="H509" s="11">
        <f>IF($K509=H$8,1+IF(OFFSET(H509,-1,0)="",0,OFFSET(H509,-1,0)),IF(H$8&lt;$K509,IF(OFFSET(H509,-1,0)="","ERR",OFFSET(H509,-1,0)),""))</f>
        <v/>
      </c>
      <c r="I509" s="11">
        <f>IF($K509=I$8,1+IF(OFFSET(I509,-1,0)="",0,OFFSET(I509,-1,0)),IF(I$8&lt;$K509,IF(OFFSET(I509,-1,0)="","ERR",OFFSET(I509,-1,0)),""))</f>
        <v/>
      </c>
      <c r="J509" s="49">
        <f>_xlfn.TEXTJOIN(".",1,B509:I509)</f>
        <v/>
      </c>
      <c r="K509" s="49" t="inlineStr">
        <is>
          <t>Л7</t>
        </is>
      </c>
      <c r="L509" s="49" t="n"/>
      <c r="M509" s="63" t="inlineStr">
        <is>
          <t>Световой оповещатель «ВЫХОД», ОПОП 1-8 24В "ВЫХОД", ООО «РУБЕЖ»</t>
        </is>
      </c>
      <c r="N509" s="49" t="inlineStr">
        <is>
          <t>шт.</t>
        </is>
      </c>
      <c r="O509" s="50">
        <f>P509+Q509+S509+V509</f>
        <v/>
      </c>
      <c r="P509" s="49" t="n"/>
      <c r="Q509" s="49" t="n">
        <v>15</v>
      </c>
      <c r="R509" s="49" t="n">
        <v>15</v>
      </c>
      <c r="S509" s="49" t="n">
        <v>25</v>
      </c>
      <c r="T509" s="49" t="n">
        <v>25</v>
      </c>
      <c r="U509" s="49" t="n">
        <v>16</v>
      </c>
      <c r="V509" s="49" t="n">
        <v>16</v>
      </c>
      <c r="W509" s="50" t="n">
        <v>1</v>
      </c>
      <c r="X509" s="26" t="n">
        <v>1659174829</v>
      </c>
      <c r="Y509" s="26" t="n">
        <v>165901001</v>
      </c>
      <c r="Z509" s="26" t="inlineStr">
        <is>
          <t xml:space="preserve"> "ТК "РУТЕК"</t>
        </is>
      </c>
      <c r="AA509" s="51" t="inlineStr">
        <is>
          <t>ГТ</t>
        </is>
      </c>
      <c r="AB509" s="188" t="n"/>
      <c r="AC509" s="189" t="n"/>
      <c r="AD509" s="190">
        <f>SUM(AB509:AC509)</f>
        <v/>
      </c>
      <c r="AE509" s="190">
        <f>AB509*$O509*$W509</f>
        <v/>
      </c>
      <c r="AF509" s="190">
        <f>AC509*$O509*$W509</f>
        <v/>
      </c>
      <c r="AG509" s="190">
        <f>SUM(AE509:AF509)</f>
        <v/>
      </c>
      <c r="AH509" s="182" t="n"/>
    </row>
    <row r="510" outlineLevel="1">
      <c r="A510" s="18" t="inlineStr">
        <is>
          <t>О</t>
        </is>
      </c>
      <c r="B510" s="11">
        <f>IF($K510=B$8,1+IF(OFFSET(B510,-1,0)="",0,OFFSET(B510,-1,0)),IF(B$8&lt;$K510,IF(OFFSET(B510,-1,0)="","ERR",OFFSET(B510,-1,0)),""))</f>
        <v/>
      </c>
      <c r="C510" s="11">
        <f>IF($K510=C$8,1+IF(OFFSET(C510,-1,0)="",0,OFFSET(C510,-1,0)),IF(C$8&lt;$K510,IF(OFFSET(C510,-1,0)="","ERR",OFFSET(C510,-1,0)),""))</f>
        <v/>
      </c>
      <c r="D510" s="11">
        <f>IF($K510=D$8,1+IF(OFFSET(D510,-1,0)="",0,OFFSET(D510,-1,0)),IF(D$8&lt;$K510,IF(OFFSET(D510,-1,0)="","ERR",OFFSET(D510,-1,0)),""))</f>
        <v/>
      </c>
      <c r="E510" s="11">
        <f>IF($K510=E$8,1+IF(OFFSET(E510,-1,0)="",0,OFFSET(E510,-1,0)),IF(E$8&lt;$K510,IF(OFFSET(E510,-1,0)="","ERR",OFFSET(E510,-1,0)),""))</f>
        <v/>
      </c>
      <c r="F510" s="11">
        <f>IF($K510=F$8,1+IF(OFFSET(F510,-1,0)="",0,OFFSET(F510,-1,0)),IF(F$8&lt;$K510,IF(OFFSET(F510,-1,0)="","ERR",OFFSET(F510,-1,0)),""))</f>
        <v/>
      </c>
      <c r="G510" s="11">
        <f>IF($K510=G$8,1+IF(OFFSET(G510,-1,0)="",0,OFFSET(G510,-1,0)),IF(G$8&lt;$K510,IF(OFFSET(G510,-1,0)="","ERR",OFFSET(G510,-1,0)),""))</f>
        <v/>
      </c>
      <c r="H510" s="11">
        <f>IF($K510=H$8,1+IF(OFFSET(H510,-1,0)="",0,OFFSET(H510,-1,0)),IF(H$8&lt;$K510,IF(OFFSET(H510,-1,0)="","ERR",OFFSET(H510,-1,0)),""))</f>
        <v/>
      </c>
      <c r="I510" s="11">
        <f>IF($K510=I$8,1+IF(OFFSET(I510,-1,0)="",0,OFFSET(I510,-1,0)),IF(I$8&lt;$K510,IF(OFFSET(I510,-1,0)="","ERR",OFFSET(I510,-1,0)),""))</f>
        <v/>
      </c>
      <c r="J510" s="49">
        <f>_xlfn.TEXTJOIN(".",1,B510:I510)</f>
        <v/>
      </c>
      <c r="K510" s="49" t="inlineStr">
        <is>
          <t>Л7</t>
        </is>
      </c>
      <c r="L510" s="49" t="n"/>
      <c r="M510" s="63" t="inlineStr">
        <is>
          <t>Световой оповещатель «стрелка влево», ОПОП 1-8 24В "стрелка влево", ООО «РУБЕЖ»</t>
        </is>
      </c>
      <c r="N510" s="49" t="inlineStr">
        <is>
          <t>шт.</t>
        </is>
      </c>
      <c r="O510" s="50">
        <f>P510+Q510+S510+V510</f>
        <v/>
      </c>
      <c r="P510" s="49" t="n"/>
      <c r="Q510" s="49" t="n">
        <v>13</v>
      </c>
      <c r="R510" s="49" t="n">
        <v>13</v>
      </c>
      <c r="S510" s="49" t="n">
        <v>12</v>
      </c>
      <c r="T510" s="49" t="n">
        <v>12</v>
      </c>
      <c r="U510" s="49" t="n">
        <v>23</v>
      </c>
      <c r="V510" s="49" t="n">
        <v>23</v>
      </c>
      <c r="W510" s="50" t="n">
        <v>1</v>
      </c>
      <c r="X510" s="26" t="n">
        <v>1659174829</v>
      </c>
      <c r="Y510" s="26" t="n">
        <v>165901001</v>
      </c>
      <c r="Z510" s="26" t="inlineStr">
        <is>
          <t xml:space="preserve"> "ТК "РУТЕК"</t>
        </is>
      </c>
      <c r="AA510" s="51" t="inlineStr">
        <is>
          <t>ГТ</t>
        </is>
      </c>
      <c r="AB510" s="188" t="n"/>
      <c r="AC510" s="189" t="n"/>
      <c r="AD510" s="190">
        <f>SUM(AB510:AC510)</f>
        <v/>
      </c>
      <c r="AE510" s="190">
        <f>AB510*$O510*$W510</f>
        <v/>
      </c>
      <c r="AF510" s="190">
        <f>AC510*$O510*$W510</f>
        <v/>
      </c>
      <c r="AG510" s="190">
        <f>SUM(AE510:AF510)</f>
        <v/>
      </c>
      <c r="AH510" s="182" t="n"/>
    </row>
    <row r="511" outlineLevel="1">
      <c r="A511" s="18" t="inlineStr">
        <is>
          <t>О</t>
        </is>
      </c>
      <c r="B511" s="11">
        <f>IF($K511=B$8,1+IF(OFFSET(B511,-1,0)="",0,OFFSET(B511,-1,0)),IF(B$8&lt;$K511,IF(OFFSET(B511,-1,0)="","ERR",OFFSET(B511,-1,0)),""))</f>
        <v/>
      </c>
      <c r="C511" s="11">
        <f>IF($K511=C$8,1+IF(OFFSET(C511,-1,0)="",0,OFFSET(C511,-1,0)),IF(C$8&lt;$K511,IF(OFFSET(C511,-1,0)="","ERR",OFFSET(C511,-1,0)),""))</f>
        <v/>
      </c>
      <c r="D511" s="11">
        <f>IF($K511=D$8,1+IF(OFFSET(D511,-1,0)="",0,OFFSET(D511,-1,0)),IF(D$8&lt;$K511,IF(OFFSET(D511,-1,0)="","ERR",OFFSET(D511,-1,0)),""))</f>
        <v/>
      </c>
      <c r="E511" s="11">
        <f>IF($K511=E$8,1+IF(OFFSET(E511,-1,0)="",0,OFFSET(E511,-1,0)),IF(E$8&lt;$K511,IF(OFFSET(E511,-1,0)="","ERR",OFFSET(E511,-1,0)),""))</f>
        <v/>
      </c>
      <c r="F511" s="11">
        <f>IF($K511=F$8,1+IF(OFFSET(F511,-1,0)="",0,OFFSET(F511,-1,0)),IF(F$8&lt;$K511,IF(OFFSET(F511,-1,0)="","ERR",OFFSET(F511,-1,0)),""))</f>
        <v/>
      </c>
      <c r="G511" s="11">
        <f>IF($K511=G$8,1+IF(OFFSET(G511,-1,0)="",0,OFFSET(G511,-1,0)),IF(G$8&lt;$K511,IF(OFFSET(G511,-1,0)="","ERR",OFFSET(G511,-1,0)),""))</f>
        <v/>
      </c>
      <c r="H511" s="11">
        <f>IF($K511=H$8,1+IF(OFFSET(H511,-1,0)="",0,OFFSET(H511,-1,0)),IF(H$8&lt;$K511,IF(OFFSET(H511,-1,0)="","ERR",OFFSET(H511,-1,0)),""))</f>
        <v/>
      </c>
      <c r="I511" s="11">
        <f>IF($K511=I$8,1+IF(OFFSET(I511,-1,0)="",0,OFFSET(I511,-1,0)),IF(I$8&lt;$K511,IF(OFFSET(I511,-1,0)="","ERR",OFFSET(I511,-1,0)),""))</f>
        <v/>
      </c>
      <c r="J511" s="49">
        <f>_xlfn.TEXTJOIN(".",1,B511:I511)</f>
        <v/>
      </c>
      <c r="K511" s="49" t="inlineStr">
        <is>
          <t>Л7</t>
        </is>
      </c>
      <c r="L511" s="49" t="n"/>
      <c r="M511" s="63" t="inlineStr">
        <is>
          <t>Световой оповещатель «стрелка вправо», ОПОП 1-8 24В "стрелка вправо", ООО «РУБЕЖ»</t>
        </is>
      </c>
      <c r="N511" s="49" t="inlineStr">
        <is>
          <t>шт.</t>
        </is>
      </c>
      <c r="O511" s="50">
        <f>P511+Q511+S511+V511</f>
        <v/>
      </c>
      <c r="P511" s="49" t="n"/>
      <c r="Q511" s="49" t="n">
        <v>15</v>
      </c>
      <c r="R511" s="49" t="n">
        <v>15</v>
      </c>
      <c r="S511" s="49" t="n">
        <v>14</v>
      </c>
      <c r="T511" s="49" t="n">
        <v>14</v>
      </c>
      <c r="U511" s="49" t="n">
        <v>27</v>
      </c>
      <c r="V511" s="49" t="n">
        <v>27</v>
      </c>
      <c r="W511" s="50" t="n">
        <v>1</v>
      </c>
      <c r="X511" s="26" t="n">
        <v>1659174829</v>
      </c>
      <c r="Y511" s="26" t="n">
        <v>165901001</v>
      </c>
      <c r="Z511" s="26" t="inlineStr">
        <is>
          <t xml:space="preserve"> "ТК "РУТЕК"</t>
        </is>
      </c>
      <c r="AA511" s="51" t="inlineStr">
        <is>
          <t>ГТ</t>
        </is>
      </c>
      <c r="AB511" s="188" t="n"/>
      <c r="AC511" s="189" t="n"/>
      <c r="AD511" s="190">
        <f>SUM(AB511:AC511)</f>
        <v/>
      </c>
      <c r="AE511" s="190">
        <f>AB511*$O511*$W511</f>
        <v/>
      </c>
      <c r="AF511" s="190">
        <f>AC511*$O511*$W511</f>
        <v/>
      </c>
      <c r="AG511" s="190">
        <f>SUM(AE511:AF511)</f>
        <v/>
      </c>
      <c r="AH511" s="182" t="n"/>
    </row>
    <row r="512" outlineLevel="1">
      <c r="A512" s="18" t="inlineStr">
        <is>
          <t>О</t>
        </is>
      </c>
      <c r="B512" s="11">
        <f>IF($K512=B$8,1+IF(OFFSET(B512,-1,0)="",0,OFFSET(B512,-1,0)),IF(B$8&lt;$K512,IF(OFFSET(B512,-1,0)="","ERR",OFFSET(B512,-1,0)),""))</f>
        <v/>
      </c>
      <c r="C512" s="11">
        <f>IF($K512=C$8,1+IF(OFFSET(C512,-1,0)="",0,OFFSET(C512,-1,0)),IF(C$8&lt;$K512,IF(OFFSET(C512,-1,0)="","ERR",OFFSET(C512,-1,0)),""))</f>
        <v/>
      </c>
      <c r="D512" s="11">
        <f>IF($K512=D$8,1+IF(OFFSET(D512,-1,0)="",0,OFFSET(D512,-1,0)),IF(D$8&lt;$K512,IF(OFFSET(D512,-1,0)="","ERR",OFFSET(D512,-1,0)),""))</f>
        <v/>
      </c>
      <c r="E512" s="11">
        <f>IF($K512=E$8,1+IF(OFFSET(E512,-1,0)="",0,OFFSET(E512,-1,0)),IF(E$8&lt;$K512,IF(OFFSET(E512,-1,0)="","ERR",OFFSET(E512,-1,0)),""))</f>
        <v/>
      </c>
      <c r="F512" s="11">
        <f>IF($K512=F$8,1+IF(OFFSET(F512,-1,0)="",0,OFFSET(F512,-1,0)),IF(F$8&lt;$K512,IF(OFFSET(F512,-1,0)="","ERR",OFFSET(F512,-1,0)),""))</f>
        <v/>
      </c>
      <c r="G512" s="11">
        <f>IF($K512=G$8,1+IF(OFFSET(G512,-1,0)="",0,OFFSET(G512,-1,0)),IF(G$8&lt;$K512,IF(OFFSET(G512,-1,0)="","ERR",OFFSET(G512,-1,0)),""))</f>
        <v/>
      </c>
      <c r="H512" s="11">
        <f>IF($K512=H$8,1+IF(OFFSET(H512,-1,0)="",0,OFFSET(H512,-1,0)),IF(H$8&lt;$K512,IF(OFFSET(H512,-1,0)="","ERR",OFFSET(H512,-1,0)),""))</f>
        <v/>
      </c>
      <c r="I512" s="11">
        <f>IF($K512=I$8,1+IF(OFFSET(I512,-1,0)="",0,OFFSET(I512,-1,0)),IF(I$8&lt;$K512,IF(OFFSET(I512,-1,0)="","ERR",OFFSET(I512,-1,0)),""))</f>
        <v/>
      </c>
      <c r="J512" s="49">
        <f>_xlfn.TEXTJOIN(".",1,B512:I512)</f>
        <v/>
      </c>
      <c r="K512" s="49" t="inlineStr">
        <is>
          <t>Л7</t>
        </is>
      </c>
      <c r="L512" s="49" t="n"/>
      <c r="M512" s="63" t="inlineStr">
        <is>
          <t>Световой оповещатель «Безопасная зона МГН», ОПОП 1-8 24В " Безопасная зона МГН ", ООО «РУБЕЖ»</t>
        </is>
      </c>
      <c r="N512" s="49" t="inlineStr">
        <is>
          <t>шт.</t>
        </is>
      </c>
      <c r="O512" s="50">
        <f>P512+Q512+S512+V512</f>
        <v/>
      </c>
      <c r="P512" s="49" t="n"/>
      <c r="Q512" s="49" t="n">
        <v>3</v>
      </c>
      <c r="R512" s="49" t="n">
        <v>3</v>
      </c>
      <c r="S512" s="49" t="n">
        <v>2</v>
      </c>
      <c r="T512" s="49" t="n">
        <v>2</v>
      </c>
      <c r="U512" s="49" t="n">
        <v>1</v>
      </c>
      <c r="V512" s="49" t="n">
        <v>1</v>
      </c>
      <c r="W512" s="50" t="n">
        <v>1</v>
      </c>
      <c r="X512" s="26" t="n">
        <v>1659174829</v>
      </c>
      <c r="Y512" s="26" t="n">
        <v>165901001</v>
      </c>
      <c r="Z512" s="26" t="inlineStr">
        <is>
          <t xml:space="preserve"> "ТК "РУТЕК"</t>
        </is>
      </c>
      <c r="AA512" s="51" t="inlineStr">
        <is>
          <t>ГТ</t>
        </is>
      </c>
      <c r="AB512" s="188" t="n"/>
      <c r="AC512" s="189" t="n"/>
      <c r="AD512" s="190">
        <f>SUM(AB512:AC512)</f>
        <v/>
      </c>
      <c r="AE512" s="190">
        <f>AB512*$O512*$W512</f>
        <v/>
      </c>
      <c r="AF512" s="190">
        <f>AC512*$O512*$W512</f>
        <v/>
      </c>
      <c r="AG512" s="190">
        <f>SUM(AE512:AF512)</f>
        <v/>
      </c>
      <c r="AH512" s="182" t="n"/>
    </row>
    <row r="513" outlineLevel="1">
      <c r="A513" s="18" t="inlineStr">
        <is>
          <t>О</t>
        </is>
      </c>
      <c r="B513" s="11">
        <f>IF($K513=B$8,1+IF(OFFSET(B513,-1,0)="",0,OFFSET(B513,-1,0)),IF(B$8&lt;$K513,IF(OFFSET(B513,-1,0)="","ERR",OFFSET(B513,-1,0)),""))</f>
        <v/>
      </c>
      <c r="C513" s="11">
        <f>IF($K513=C$8,1+IF(OFFSET(C513,-1,0)="",0,OFFSET(C513,-1,0)),IF(C$8&lt;$K513,IF(OFFSET(C513,-1,0)="","ERR",OFFSET(C513,-1,0)),""))</f>
        <v/>
      </c>
      <c r="D513" s="11">
        <f>IF($K513=D$8,1+IF(OFFSET(D513,-1,0)="",0,OFFSET(D513,-1,0)),IF(D$8&lt;$K513,IF(OFFSET(D513,-1,0)="","ERR",OFFSET(D513,-1,0)),""))</f>
        <v/>
      </c>
      <c r="E513" s="11">
        <f>IF($K513=E$8,1+IF(OFFSET(E513,-1,0)="",0,OFFSET(E513,-1,0)),IF(E$8&lt;$K513,IF(OFFSET(E513,-1,0)="","ERR",OFFSET(E513,-1,0)),""))</f>
        <v/>
      </c>
      <c r="F513" s="11">
        <f>IF($K513=F$8,1+IF(OFFSET(F513,-1,0)="",0,OFFSET(F513,-1,0)),IF(F$8&lt;$K513,IF(OFFSET(F513,-1,0)="","ERR",OFFSET(F513,-1,0)),""))</f>
        <v/>
      </c>
      <c r="G513" s="11">
        <f>IF($K513=G$8,1+IF(OFFSET(G513,-1,0)="",0,OFFSET(G513,-1,0)),IF(G$8&lt;$K513,IF(OFFSET(G513,-1,0)="","ERR",OFFSET(G513,-1,0)),""))</f>
        <v/>
      </c>
      <c r="H513" s="11">
        <f>IF($K513=H$8,1+IF(OFFSET(H513,-1,0)="",0,OFFSET(H513,-1,0)),IF(H$8&lt;$K513,IF(OFFSET(H513,-1,0)="","ERR",OFFSET(H513,-1,0)),""))</f>
        <v/>
      </c>
      <c r="I513" s="11">
        <f>IF($K513=I$8,1+IF(OFFSET(I513,-1,0)="",0,OFFSET(I513,-1,0)),IF(I$8&lt;$K513,IF(OFFSET(I513,-1,0)="","ERR",OFFSET(I513,-1,0)),""))</f>
        <v/>
      </c>
      <c r="J513" s="49">
        <f>_xlfn.TEXTJOIN(".",1,B513:I513)</f>
        <v/>
      </c>
      <c r="K513" s="49" t="inlineStr">
        <is>
          <t>Л7</t>
        </is>
      </c>
      <c r="L513" s="49" t="n"/>
      <c r="M513" s="63" t="inlineStr">
        <is>
          <t>Световой оповещатель «ПОЖАР», ОПОП 1-8 24В " ПОЖАР ", ООО «РУБЕЖ»</t>
        </is>
      </c>
      <c r="N513" s="49" t="inlineStr">
        <is>
          <t>шт.</t>
        </is>
      </c>
      <c r="O513" s="50">
        <f>P513+Q513+S513+V513</f>
        <v/>
      </c>
      <c r="P513" s="49" t="n"/>
      <c r="Q513" s="49" t="n">
        <v>2</v>
      </c>
      <c r="R513" s="49" t="n">
        <v>2</v>
      </c>
      <c r="S513" s="49" t="n">
        <v>2</v>
      </c>
      <c r="T513" s="49" t="n">
        <v>2</v>
      </c>
      <c r="U513" s="49" t="n">
        <v>3</v>
      </c>
      <c r="V513" s="49" t="n">
        <v>3</v>
      </c>
      <c r="W513" s="50" t="n">
        <v>1</v>
      </c>
      <c r="X513" s="26" t="n">
        <v>1659174829</v>
      </c>
      <c r="Y513" s="26" t="n">
        <v>165901001</v>
      </c>
      <c r="Z513" s="26" t="inlineStr">
        <is>
          <t xml:space="preserve"> "ТК "РУТЕК"</t>
        </is>
      </c>
      <c r="AA513" s="51" t="inlineStr">
        <is>
          <t>ГТ</t>
        </is>
      </c>
      <c r="AB513" s="188" t="n"/>
      <c r="AC513" s="189" t="n"/>
      <c r="AD513" s="190">
        <f>SUM(AB513:AC513)</f>
        <v/>
      </c>
      <c r="AE513" s="190">
        <f>AB513*$O513*$W513</f>
        <v/>
      </c>
      <c r="AF513" s="190">
        <f>AC513*$O513*$W513</f>
        <v/>
      </c>
      <c r="AG513" s="190">
        <f>SUM(AE513:AF513)</f>
        <v/>
      </c>
      <c r="AH513" s="182" t="n"/>
    </row>
    <row r="514" outlineLevel="1" ht="25.5" customHeight="1">
      <c r="A514" s="18" t="inlineStr">
        <is>
          <t>О</t>
        </is>
      </c>
      <c r="B514" s="11">
        <f>IF($K514=B$8,1+IF(OFFSET(B514,-1,0)="",0,OFFSET(B514,-1,0)),IF(B$8&lt;$K514,IF(OFFSET(B514,-1,0)="","ERR",OFFSET(B514,-1,0)),""))</f>
        <v/>
      </c>
      <c r="C514" s="11">
        <f>IF($K514=C$8,1+IF(OFFSET(C514,-1,0)="",0,OFFSET(C514,-1,0)),IF(C$8&lt;$K514,IF(OFFSET(C514,-1,0)="","ERR",OFFSET(C514,-1,0)),""))</f>
        <v/>
      </c>
      <c r="D514" s="11">
        <f>IF($K514=D$8,1+IF(OFFSET(D514,-1,0)="",0,OFFSET(D514,-1,0)),IF(D$8&lt;$K514,IF(OFFSET(D514,-1,0)="","ERR",OFFSET(D514,-1,0)),""))</f>
        <v/>
      </c>
      <c r="E514" s="11">
        <f>IF($K514=E$8,1+IF(OFFSET(E514,-1,0)="",0,OFFSET(E514,-1,0)),IF(E$8&lt;$K514,IF(OFFSET(E514,-1,0)="","ERR",OFFSET(E514,-1,0)),""))</f>
        <v/>
      </c>
      <c r="F514" s="11">
        <f>IF($K514=F$8,1+IF(OFFSET(F514,-1,0)="",0,OFFSET(F514,-1,0)),IF(F$8&lt;$K514,IF(OFFSET(F514,-1,0)="","ERR",OFFSET(F514,-1,0)),""))</f>
        <v/>
      </c>
      <c r="G514" s="11">
        <f>IF($K514=G$8,1+IF(OFFSET(G514,-1,0)="",0,OFFSET(G514,-1,0)),IF(G$8&lt;$K514,IF(OFFSET(G514,-1,0)="","ERR",OFFSET(G514,-1,0)),""))</f>
        <v/>
      </c>
      <c r="H514" s="11">
        <f>IF($K514=H$8,1+IF(OFFSET(H514,-1,0)="",0,OFFSET(H514,-1,0)),IF(H$8&lt;$K514,IF(OFFSET(H514,-1,0)="","ERR",OFFSET(H514,-1,0)),""))</f>
        <v/>
      </c>
      <c r="I514" s="11">
        <f>IF($K514=I$8,1+IF(OFFSET(I514,-1,0)="",0,OFFSET(I514,-1,0)),IF(I$8&lt;$K514,IF(OFFSET(I514,-1,0)="","ERR",OFFSET(I514,-1,0)),""))</f>
        <v/>
      </c>
      <c r="J514" s="49">
        <f>_xlfn.TEXTJOIN(".",1,B514:I514)</f>
        <v/>
      </c>
      <c r="K514" s="49" t="inlineStr">
        <is>
          <t>Л7</t>
        </is>
      </c>
      <c r="L514" s="49" t="n"/>
      <c r="M514" s="63" t="inlineStr">
        <is>
          <t>Световой оповещатель "Влево зона безопасности МГН", ОПОП 1-8 24В " Влево зона безопасности МГН ", ООО «РУБЕЖ»</t>
        </is>
      </c>
      <c r="N514" s="49" t="inlineStr">
        <is>
          <t>шт.</t>
        </is>
      </c>
      <c r="O514" s="50">
        <f>P514+Q514+S514+V514</f>
        <v/>
      </c>
      <c r="P514" s="49" t="n"/>
      <c r="Q514" s="49" t="n">
        <v>3</v>
      </c>
      <c r="R514" s="49" t="n">
        <v>3</v>
      </c>
      <c r="S514" s="49" t="n">
        <v>2</v>
      </c>
      <c r="T514" s="49" t="n">
        <v>2</v>
      </c>
      <c r="U514" s="49" t="n">
        <v>1</v>
      </c>
      <c r="V514" s="49" t="n">
        <v>1</v>
      </c>
      <c r="W514" s="50" t="n">
        <v>1</v>
      </c>
      <c r="X514" s="26" t="n">
        <v>1659174829</v>
      </c>
      <c r="Y514" s="26" t="n">
        <v>165901001</v>
      </c>
      <c r="Z514" s="26" t="inlineStr">
        <is>
          <t xml:space="preserve"> "ТК "РУТЕК"</t>
        </is>
      </c>
      <c r="AA514" s="51" t="inlineStr">
        <is>
          <t>ГТ</t>
        </is>
      </c>
      <c r="AB514" s="188" t="n"/>
      <c r="AC514" s="189" t="n"/>
      <c r="AD514" s="190">
        <f>SUM(AB514:AC514)</f>
        <v/>
      </c>
      <c r="AE514" s="190">
        <f>AB514*$O514*$W514</f>
        <v/>
      </c>
      <c r="AF514" s="190">
        <f>AC514*$O514*$W514</f>
        <v/>
      </c>
      <c r="AG514" s="190">
        <f>SUM(AE514:AF514)</f>
        <v/>
      </c>
      <c r="AH514" s="182" t="n"/>
    </row>
    <row r="515" outlineLevel="1" ht="25.5" customHeight="1">
      <c r="A515" s="18" t="inlineStr">
        <is>
          <t>О</t>
        </is>
      </c>
      <c r="B515" s="11">
        <f>IF($K515=B$8,1+IF(OFFSET(B515,-1,0)="",0,OFFSET(B515,-1,0)),IF(B$8&lt;$K515,IF(OFFSET(B515,-1,0)="","ERR",OFFSET(B515,-1,0)),""))</f>
        <v/>
      </c>
      <c r="C515" s="11">
        <f>IF($K515=C$8,1+IF(OFFSET(C515,-1,0)="",0,OFFSET(C515,-1,0)),IF(C$8&lt;$K515,IF(OFFSET(C515,-1,0)="","ERR",OFFSET(C515,-1,0)),""))</f>
        <v/>
      </c>
      <c r="D515" s="11">
        <f>IF($K515=D$8,1+IF(OFFSET(D515,-1,0)="",0,OFFSET(D515,-1,0)),IF(D$8&lt;$K515,IF(OFFSET(D515,-1,0)="","ERR",OFFSET(D515,-1,0)),""))</f>
        <v/>
      </c>
      <c r="E515" s="11">
        <f>IF($K515=E$8,1+IF(OFFSET(E515,-1,0)="",0,OFFSET(E515,-1,0)),IF(E$8&lt;$K515,IF(OFFSET(E515,-1,0)="","ERR",OFFSET(E515,-1,0)),""))</f>
        <v/>
      </c>
      <c r="F515" s="11">
        <f>IF($K515=F$8,1+IF(OFFSET(F515,-1,0)="",0,OFFSET(F515,-1,0)),IF(F$8&lt;$K515,IF(OFFSET(F515,-1,0)="","ERR",OFFSET(F515,-1,0)),""))</f>
        <v/>
      </c>
      <c r="G515" s="11">
        <f>IF($K515=G$8,1+IF(OFFSET(G515,-1,0)="",0,OFFSET(G515,-1,0)),IF(G$8&lt;$K515,IF(OFFSET(G515,-1,0)="","ERR",OFFSET(G515,-1,0)),""))</f>
        <v/>
      </c>
      <c r="H515" s="11">
        <f>IF($K515=H$8,1+IF(OFFSET(H515,-1,0)="",0,OFFSET(H515,-1,0)),IF(H$8&lt;$K515,IF(OFFSET(H515,-1,0)="","ERR",OFFSET(H515,-1,0)),""))</f>
        <v/>
      </c>
      <c r="I515" s="11">
        <f>IF($K515=I$8,1+IF(OFFSET(I515,-1,0)="",0,OFFSET(I515,-1,0)),IF(I$8&lt;$K515,IF(OFFSET(I515,-1,0)="","ERR",OFFSET(I515,-1,0)),""))</f>
        <v/>
      </c>
      <c r="J515" s="49">
        <f>_xlfn.TEXTJOIN(".",1,B515:I515)</f>
        <v/>
      </c>
      <c r="K515" s="49" t="inlineStr">
        <is>
          <t>Л7</t>
        </is>
      </c>
      <c r="L515" s="49" t="n"/>
      <c r="M515" s="63" t="inlineStr">
        <is>
          <t>Световой оповещатель "Вправо зона безопасности МГН", ОПОП 1-8 24В " Вправо зона безопасности МГН ", ООО «РУБЕЖ»</t>
        </is>
      </c>
      <c r="N515" s="49" t="inlineStr">
        <is>
          <t>шт.</t>
        </is>
      </c>
      <c r="O515" s="50">
        <f>P515+Q515+S515+V515</f>
        <v/>
      </c>
      <c r="P515" s="49" t="n"/>
      <c r="Q515" s="49" t="n">
        <v>1</v>
      </c>
      <c r="R515" s="49" t="n">
        <v>1</v>
      </c>
      <c r="S515" s="49" t="n">
        <v>1</v>
      </c>
      <c r="T515" s="49" t="n">
        <v>1</v>
      </c>
      <c r="U515" s="49" t="n">
        <v>0</v>
      </c>
      <c r="V515" s="49" t="n">
        <v>0</v>
      </c>
      <c r="W515" s="50" t="n">
        <v>1</v>
      </c>
      <c r="X515" s="26" t="n">
        <v>1659174829</v>
      </c>
      <c r="Y515" s="26" t="n">
        <v>165901001</v>
      </c>
      <c r="Z515" s="26" t="inlineStr">
        <is>
          <t xml:space="preserve"> "ТК "РУТЕК"</t>
        </is>
      </c>
      <c r="AA515" s="51" t="inlineStr">
        <is>
          <t>ГТ</t>
        </is>
      </c>
      <c r="AB515" s="188" t="n"/>
      <c r="AC515" s="189" t="n"/>
      <c r="AD515" s="190">
        <f>SUM(AB515:AC515)</f>
        <v/>
      </c>
      <c r="AE515" s="190">
        <f>AB515*$O515*$W515</f>
        <v/>
      </c>
      <c r="AF515" s="190">
        <f>AC515*$O515*$W515</f>
        <v/>
      </c>
      <c r="AG515" s="190">
        <f>SUM(AE515:AF515)</f>
        <v/>
      </c>
      <c r="AH515" s="182" t="n"/>
    </row>
    <row r="516" outlineLevel="1">
      <c r="A516" s="18" t="inlineStr">
        <is>
          <t>О</t>
        </is>
      </c>
      <c r="B516" s="11">
        <f>IF($K516=B$8,1+IF(OFFSET(B516,-1,0)="",0,OFFSET(B516,-1,0)),IF(B$8&lt;$K516,IF(OFFSET(B516,-1,0)="","ERR",OFFSET(B516,-1,0)),""))</f>
        <v/>
      </c>
      <c r="C516" s="11">
        <f>IF($K516=C$8,1+IF(OFFSET(C516,-1,0)="",0,OFFSET(C516,-1,0)),IF(C$8&lt;$K516,IF(OFFSET(C516,-1,0)="","ERR",OFFSET(C516,-1,0)),""))</f>
        <v/>
      </c>
      <c r="D516" s="11">
        <f>IF($K516=D$8,1+IF(OFFSET(D516,-1,0)="",0,OFFSET(D516,-1,0)),IF(D$8&lt;$K516,IF(OFFSET(D516,-1,0)="","ERR",OFFSET(D516,-1,0)),""))</f>
        <v/>
      </c>
      <c r="E516" s="11">
        <f>IF($K516=E$8,1+IF(OFFSET(E516,-1,0)="",0,OFFSET(E516,-1,0)),IF(E$8&lt;$K516,IF(OFFSET(E516,-1,0)="","ERR",OFFSET(E516,-1,0)),""))</f>
        <v/>
      </c>
      <c r="F516" s="11">
        <f>IF($K516=F$8,1+IF(OFFSET(F516,-1,0)="",0,OFFSET(F516,-1,0)),IF(F$8&lt;$K516,IF(OFFSET(F516,-1,0)="","ERR",OFFSET(F516,-1,0)),""))</f>
        <v/>
      </c>
      <c r="G516" s="11">
        <f>IF($K516=G$8,1+IF(OFFSET(G516,-1,0)="",0,OFFSET(G516,-1,0)),IF(G$8&lt;$K516,IF(OFFSET(G516,-1,0)="","ERR",OFFSET(G516,-1,0)),""))</f>
        <v/>
      </c>
      <c r="H516" s="11">
        <f>IF($K516=H$8,1+IF(OFFSET(H516,-1,0)="",0,OFFSET(H516,-1,0)),IF(H$8&lt;$K516,IF(OFFSET(H516,-1,0)="","ERR",OFFSET(H516,-1,0)),""))</f>
        <v/>
      </c>
      <c r="I516" s="11">
        <f>IF($K516=I$8,1+IF(OFFSET(I516,-1,0)="",0,OFFSET(I516,-1,0)),IF(I$8&lt;$K516,IF(OFFSET(I516,-1,0)="","ERR",OFFSET(I516,-1,0)),""))</f>
        <v/>
      </c>
      <c r="J516" s="49">
        <f>_xlfn.TEXTJOIN(".",1,B516:I516)</f>
        <v/>
      </c>
      <c r="K516" s="49" t="inlineStr">
        <is>
          <t>Л7</t>
        </is>
      </c>
      <c r="L516" s="49" t="n"/>
      <c r="M516" s="63" t="inlineStr">
        <is>
          <t>Световой оповещатель, стробоскоп, ОПОП 124-7 24В, ООО «РУБЕЖ»</t>
        </is>
      </c>
      <c r="N516" s="49" t="inlineStr">
        <is>
          <t>шт.</t>
        </is>
      </c>
      <c r="O516" s="50">
        <f>P516+Q516+S516+V516</f>
        <v/>
      </c>
      <c r="P516" s="49" t="n"/>
      <c r="Q516" s="49" t="n">
        <v>3</v>
      </c>
      <c r="R516" s="49" t="n">
        <v>3</v>
      </c>
      <c r="S516" s="49" t="n">
        <v>3</v>
      </c>
      <c r="T516" s="49" t="n">
        <v>3</v>
      </c>
      <c r="U516" s="49" t="n">
        <v>5</v>
      </c>
      <c r="V516" s="49" t="n">
        <v>5</v>
      </c>
      <c r="W516" s="50" t="n">
        <v>1</v>
      </c>
      <c r="X516" s="26" t="n">
        <v>1659174829</v>
      </c>
      <c r="Y516" s="26" t="n">
        <v>165901001</v>
      </c>
      <c r="Z516" s="26" t="inlineStr">
        <is>
          <t xml:space="preserve"> "ТК "РУТЕК"</t>
        </is>
      </c>
      <c r="AA516" s="51" t="inlineStr">
        <is>
          <t>ГТ</t>
        </is>
      </c>
      <c r="AB516" s="188" t="n"/>
      <c r="AC516" s="189" t="n"/>
      <c r="AD516" s="190">
        <f>SUM(AB516:AC516)</f>
        <v/>
      </c>
      <c r="AE516" s="190">
        <f>AB516*$O516*$W516</f>
        <v/>
      </c>
      <c r="AF516" s="190">
        <f>AC516*$O516*$W516</f>
        <v/>
      </c>
      <c r="AG516" s="190">
        <f>SUM(AE516:AF516)</f>
        <v/>
      </c>
      <c r="AH516" s="182" t="n"/>
    </row>
    <row r="517" outlineLevel="1">
      <c r="A517" s="18" t="inlineStr">
        <is>
          <t>О</t>
        </is>
      </c>
      <c r="B517" s="11">
        <f>IF($K517=B$8,1+IF(OFFSET(B517,-1,0)="",0,OFFSET(B517,-1,0)),IF(B$8&lt;$K517,IF(OFFSET(B517,-1,0)="","ERR",OFFSET(B517,-1,0)),""))</f>
        <v/>
      </c>
      <c r="C517" s="11">
        <f>IF($K517=C$8,1+IF(OFFSET(C517,-1,0)="",0,OFFSET(C517,-1,0)),IF(C$8&lt;$K517,IF(OFFSET(C517,-1,0)="","ERR",OFFSET(C517,-1,0)),""))</f>
        <v/>
      </c>
      <c r="D517" s="11">
        <f>IF($K517=D$8,1+IF(OFFSET(D517,-1,0)="",0,OFFSET(D517,-1,0)),IF(D$8&lt;$K517,IF(OFFSET(D517,-1,0)="","ERR",OFFSET(D517,-1,0)),""))</f>
        <v/>
      </c>
      <c r="E517" s="11">
        <f>IF($K517=E$8,1+IF(OFFSET(E517,-1,0)="",0,OFFSET(E517,-1,0)),IF(E$8&lt;$K517,IF(OFFSET(E517,-1,0)="","ERR",OFFSET(E517,-1,0)),""))</f>
        <v/>
      </c>
      <c r="F517" s="11">
        <f>IF($K517=F$8,1+IF(OFFSET(F517,-1,0)="",0,OFFSET(F517,-1,0)),IF(F$8&lt;$K517,IF(OFFSET(F517,-1,0)="","ERR",OFFSET(F517,-1,0)),""))</f>
        <v/>
      </c>
      <c r="G517" s="11">
        <f>IF($K517=G$8,1+IF(OFFSET(G517,-1,0)="",0,OFFSET(G517,-1,0)),IF(G$8&lt;$K517,IF(OFFSET(G517,-1,0)="","ERR",OFFSET(G517,-1,0)),""))</f>
        <v/>
      </c>
      <c r="H517" s="11">
        <f>IF($K517=H$8,1+IF(OFFSET(H517,-1,0)="",0,OFFSET(H517,-1,0)),IF(H$8&lt;$K517,IF(OFFSET(H517,-1,0)="","ERR",OFFSET(H517,-1,0)),""))</f>
        <v/>
      </c>
      <c r="I517" s="11">
        <f>IF($K517=I$8,1+IF(OFFSET(I517,-1,0)="",0,OFFSET(I517,-1,0)),IF(I$8&lt;$K517,IF(OFFSET(I517,-1,0)="","ERR",OFFSET(I517,-1,0)),""))</f>
        <v/>
      </c>
      <c r="J517" s="46">
        <f>_xlfn.TEXTJOIN(".",1,B517:I517)</f>
        <v/>
      </c>
      <c r="K517" s="46" t="inlineStr">
        <is>
          <t>Л7</t>
        </is>
      </c>
      <c r="L517" s="46" t="n"/>
      <c r="M517" s="64" t="inlineStr">
        <is>
          <t>Сопутствующие и прочие материалы*</t>
        </is>
      </c>
      <c r="N517" s="46" t="inlineStr">
        <is>
          <t>шт</t>
        </is>
      </c>
      <c r="O517" s="94">
        <f>P517+Q517+S517+V517</f>
        <v/>
      </c>
      <c r="P517" s="46" t="n"/>
      <c r="Q517" s="46">
        <f>SUM(Q509:Q516)</f>
        <v/>
      </c>
      <c r="R517" s="46">
        <f>SUM(R509:R516)</f>
        <v/>
      </c>
      <c r="S517" s="46">
        <f>SUM(S509:S516)</f>
        <v/>
      </c>
      <c r="T517" s="46">
        <f>SUM(T509:T516)</f>
        <v/>
      </c>
      <c r="U517" s="46">
        <f>SUM(U509:U516)</f>
        <v/>
      </c>
      <c r="V517" s="46">
        <f>SUM(V509:V516)</f>
        <v/>
      </c>
      <c r="W517" s="46" t="n"/>
      <c r="X517" s="46" t="n"/>
      <c r="Y517" s="46" t="n"/>
      <c r="Z517" s="46" t="n"/>
      <c r="AA517" s="48" t="n"/>
      <c r="AB517" s="179" t="n"/>
      <c r="AC517" s="189" t="n"/>
      <c r="AD517" s="189">
        <f>SUM(AB517:AC517)</f>
        <v/>
      </c>
      <c r="AE517" s="189">
        <f>AB517*$O517</f>
        <v/>
      </c>
      <c r="AF517" s="189">
        <f>AC517*$O517</f>
        <v/>
      </c>
      <c r="AG517" s="189">
        <f>SUM(AE517:AF517)</f>
        <v/>
      </c>
      <c r="AH517" s="182" t="n"/>
    </row>
    <row r="518" outlineLevel="1">
      <c r="A518" s="18" t="n"/>
      <c r="B518" s="11">
        <f>IF($K518=B$8,1+IF(OFFSET(B518,-1,0)="",0,OFFSET(B518,-1,0)),IF(B$8&lt;$K518,IF(OFFSET(B518,-1,0)="","ERR",OFFSET(B518,-1,0)),""))</f>
        <v/>
      </c>
      <c r="C518" s="11">
        <f>IF($K518=C$8,1+IF(OFFSET(C518,-1,0)="",0,OFFSET(C518,-1,0)),IF(C$8&lt;$K518,IF(OFFSET(C518,-1,0)="","ERR",OFFSET(C518,-1,0)),""))</f>
        <v/>
      </c>
      <c r="D518" s="11">
        <f>IF($K518=D$8,1+IF(OFFSET(D518,-1,0)="",0,OFFSET(D518,-1,0)),IF(D$8&lt;$K518,IF(OFFSET(D518,-1,0)="","ERR",OFFSET(D518,-1,0)),""))</f>
        <v/>
      </c>
      <c r="E518" s="11">
        <f>IF($K518=E$8,1+IF(OFFSET(E518,-1,0)="",0,OFFSET(E518,-1,0)),IF(E$8&lt;$K518,IF(OFFSET(E518,-1,0)="","ERR",OFFSET(E518,-1,0)),""))</f>
        <v/>
      </c>
      <c r="F518" s="11">
        <f>IF($K518=F$8,1+IF(OFFSET(F518,-1,0)="",0,OFFSET(F518,-1,0)),IF(F$8&lt;$K518,IF(OFFSET(F518,-1,0)="","ERR",OFFSET(F518,-1,0)),""))</f>
        <v/>
      </c>
      <c r="G518" s="11">
        <f>IF($K518=G$8,1+IF(OFFSET(G518,-1,0)="",0,OFFSET(G518,-1,0)),IF(G$8&lt;$K518,IF(OFFSET(G518,-1,0)="","ERR",OFFSET(G518,-1,0)),""))</f>
        <v/>
      </c>
      <c r="H518" s="11">
        <f>IF($K518=H$8,1+IF(OFFSET(H518,-1,0)="",0,OFFSET(H518,-1,0)),IF(H$8&lt;$K518,IF(OFFSET(H518,-1,0)="","ERR",OFFSET(H518,-1,0)),""))</f>
        <v/>
      </c>
      <c r="I518" s="11">
        <f>IF($K518=I$8,1+IF(OFFSET(I518,-1,0)="",0,OFFSET(I518,-1,0)),IF(I$8&lt;$K518,IF(OFFSET(I518,-1,0)="","ERR",OFFSET(I518,-1,0)),""))</f>
        <v/>
      </c>
      <c r="J518" s="43">
        <f>_xlfn.TEXTJOIN(".",1,B518:I518)</f>
        <v/>
      </c>
      <c r="K518" s="43" t="inlineStr">
        <is>
          <t>Л5</t>
        </is>
      </c>
      <c r="L518" s="43" t="inlineStr">
        <is>
          <t>3.3.3.22.3</t>
        </is>
      </c>
      <c r="M518" s="44" t="inlineStr">
        <is>
          <t>Кабельно-проводниковая продукция</t>
        </is>
      </c>
      <c r="N518" s="43" t="n"/>
      <c r="O518" s="9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  <c r="AA518" s="45" t="n"/>
      <c r="AB518" s="185" t="n"/>
      <c r="AC518" s="186" t="n"/>
      <c r="AD518" s="186" t="n"/>
      <c r="AE518" s="186" t="n"/>
      <c r="AF518" s="186" t="n"/>
      <c r="AG518" s="186" t="n"/>
      <c r="AH518" s="178" t="n"/>
    </row>
    <row r="519" outlineLevel="1" ht="25.5" customHeight="1">
      <c r="A519" s="18" t="inlineStr">
        <is>
          <t>О</t>
        </is>
      </c>
      <c r="B519" s="11">
        <f>IF($K519=B$8,1+IF(OFFSET(B519,-1,0)="",0,OFFSET(B519,-1,0)),IF(B$8&lt;$K519,IF(OFFSET(B519,-1,0)="","ERR",OFFSET(B519,-1,0)),""))</f>
        <v/>
      </c>
      <c r="C519" s="11">
        <f>IF($K519=C$8,1+IF(OFFSET(C519,-1,0)="",0,OFFSET(C519,-1,0)),IF(C$8&lt;$K519,IF(OFFSET(C519,-1,0)="","ERR",OFFSET(C519,-1,0)),""))</f>
        <v/>
      </c>
      <c r="D519" s="11">
        <f>IF($K519=D$8,1+IF(OFFSET(D519,-1,0)="",0,OFFSET(D519,-1,0)),IF(D$8&lt;$K519,IF(OFFSET(D519,-1,0)="","ERR",OFFSET(D519,-1,0)),""))</f>
        <v/>
      </c>
      <c r="E519" s="11">
        <f>IF($K519=E$8,1+IF(OFFSET(E519,-1,0)="",0,OFFSET(E519,-1,0)),IF(E$8&lt;$K519,IF(OFFSET(E519,-1,0)="","ERR",OFFSET(E519,-1,0)),""))</f>
        <v/>
      </c>
      <c r="F519" s="11">
        <f>IF($K519=F$8,1+IF(OFFSET(F519,-1,0)="",0,OFFSET(F519,-1,0)),IF(F$8&lt;$K519,IF(OFFSET(F519,-1,0)="","ERR",OFFSET(F519,-1,0)),""))</f>
        <v/>
      </c>
      <c r="G519" s="11">
        <f>IF($K519=G$8,1+IF(OFFSET(G519,-1,0)="",0,OFFSET(G519,-1,0)),IF(G$8&lt;$K519,IF(OFFSET(G519,-1,0)="","ERR",OFFSET(G519,-1,0)),""))</f>
        <v/>
      </c>
      <c r="H519" s="11">
        <f>IF($K519=H$8,1+IF(OFFSET(H519,-1,0)="",0,OFFSET(H519,-1,0)),IF(H$8&lt;$K519,IF(OFFSET(H519,-1,0)="","ERR",OFFSET(H519,-1,0)),""))</f>
        <v/>
      </c>
      <c r="I519" s="11">
        <f>IF($K519=I$8,1+IF(OFFSET(I519,-1,0)="",0,OFFSET(I519,-1,0)),IF(I$8&lt;$K519,IF(OFFSET(I519,-1,0)="","ERR",OFFSET(I519,-1,0)),""))</f>
        <v/>
      </c>
      <c r="J519" s="46">
        <f>_xlfn.TEXTJOIN(".",1,B519:I519)</f>
        <v/>
      </c>
      <c r="K519" s="46" t="inlineStr">
        <is>
          <t>Л6</t>
        </is>
      </c>
      <c r="L519" s="46" t="inlineStr">
        <is>
          <t>3.3.3.22.3.1</t>
        </is>
      </c>
      <c r="M519" s="47" t="inlineStr">
        <is>
          <t>Прокладка кабеля/провода слаботочных систем и автоматики по конструкциям и в трубах здания: ПуГВ (ПВ-3) 6 мм2</t>
        </is>
      </c>
      <c r="N519" s="46" t="inlineStr">
        <is>
          <t>пог. м</t>
        </is>
      </c>
      <c r="O519" s="94">
        <f>P519+Q519+S519+V519</f>
        <v/>
      </c>
      <c r="P519" s="46" t="n"/>
      <c r="Q519" s="46" t="n">
        <v>8</v>
      </c>
      <c r="R519" s="46" t="n">
        <v>8</v>
      </c>
      <c r="S519" s="46" t="n">
        <v>8</v>
      </c>
      <c r="T519" s="46" t="n">
        <v>8</v>
      </c>
      <c r="U519" s="46" t="n">
        <v>14</v>
      </c>
      <c r="V519" s="46" t="n">
        <v>14</v>
      </c>
      <c r="W519" s="46" t="n"/>
      <c r="X519" s="46" t="n"/>
      <c r="Y519" s="46" t="n"/>
      <c r="Z519" s="46" t="n"/>
      <c r="AA519" s="48" t="n"/>
      <c r="AB519" s="179" t="n"/>
      <c r="AC519" s="180" t="n"/>
      <c r="AD519" s="189">
        <f>SUM(AB519:AC519)</f>
        <v/>
      </c>
      <c r="AE519" s="189">
        <f>AB519*$O519</f>
        <v/>
      </c>
      <c r="AF519" s="189">
        <f>AC519*$O519</f>
        <v/>
      </c>
      <c r="AG519" s="189">
        <f>SUM(AE519:AF519)</f>
        <v/>
      </c>
      <c r="AH519" s="182" t="n"/>
    </row>
    <row r="520" outlineLevel="1" ht="25.5" customHeight="1">
      <c r="A520" s="18" t="inlineStr">
        <is>
          <t>О</t>
        </is>
      </c>
      <c r="B520" s="11">
        <f>IF($K520=B$8,1+IF(OFFSET(B520,-1,0)="",0,OFFSET(B520,-1,0)),IF(B$8&lt;$K520,IF(OFFSET(B520,-1,0)="","ERR",OFFSET(B520,-1,0)),""))</f>
        <v/>
      </c>
      <c r="C520" s="11">
        <f>IF($K520=C$8,1+IF(OFFSET(C520,-1,0)="",0,OFFSET(C520,-1,0)),IF(C$8&lt;$K520,IF(OFFSET(C520,-1,0)="","ERR",OFFSET(C520,-1,0)),""))</f>
        <v/>
      </c>
      <c r="D520" s="11">
        <f>IF($K520=D$8,1+IF(OFFSET(D520,-1,0)="",0,OFFSET(D520,-1,0)),IF(D$8&lt;$K520,IF(OFFSET(D520,-1,0)="","ERR",OFFSET(D520,-1,0)),""))</f>
        <v/>
      </c>
      <c r="E520" s="11">
        <f>IF($K520=E$8,1+IF(OFFSET(E520,-1,0)="",0,OFFSET(E520,-1,0)),IF(E$8&lt;$K520,IF(OFFSET(E520,-1,0)="","ERR",OFFSET(E520,-1,0)),""))</f>
        <v/>
      </c>
      <c r="F520" s="11">
        <f>IF($K520=F$8,1+IF(OFFSET(F520,-1,0)="",0,OFFSET(F520,-1,0)),IF(F$8&lt;$K520,IF(OFFSET(F520,-1,0)="","ERR",OFFSET(F520,-1,0)),""))</f>
        <v/>
      </c>
      <c r="G520" s="11">
        <f>IF($K520=G$8,1+IF(OFFSET(G520,-1,0)="",0,OFFSET(G520,-1,0)),IF(G$8&lt;$K520,IF(OFFSET(G520,-1,0)="","ERR",OFFSET(G520,-1,0)),""))</f>
        <v/>
      </c>
      <c r="H520" s="11">
        <f>IF($K520=H$8,1+IF(OFFSET(H520,-1,0)="",0,OFFSET(H520,-1,0)),IF(H$8&lt;$K520,IF(OFFSET(H520,-1,0)="","ERR",OFFSET(H520,-1,0)),""))</f>
        <v/>
      </c>
      <c r="I520" s="11">
        <f>IF($K520=I$8,1+IF(OFFSET(I520,-1,0)="",0,OFFSET(I520,-1,0)),IF(I$8&lt;$K520,IF(OFFSET(I520,-1,0)="","ERR",OFFSET(I520,-1,0)),""))</f>
        <v/>
      </c>
      <c r="J520" s="46">
        <f>_xlfn.TEXTJOIN(".",1,B520:I520)</f>
        <v/>
      </c>
      <c r="K520" s="46" t="inlineStr">
        <is>
          <t>Л6</t>
        </is>
      </c>
      <c r="L520" s="46" t="inlineStr">
        <is>
          <t>3.3.3.22.3.1</t>
        </is>
      </c>
      <c r="M520" s="47" t="inlineStr">
        <is>
          <t>Прокладка кабеля/провода слаботочных систем и автоматики по конструкциям и в трубах здания: КПСнг(А)-FRHF 1х2х1,5</t>
        </is>
      </c>
      <c r="N520" s="46" t="inlineStr">
        <is>
          <t>пог. м</t>
        </is>
      </c>
      <c r="O520" s="94">
        <f>P520+Q520+S520+V520</f>
        <v/>
      </c>
      <c r="P520" s="46" t="n"/>
      <c r="Q520" s="46" t="n">
        <v>3779</v>
      </c>
      <c r="R520" s="46" t="n">
        <v>3779</v>
      </c>
      <c r="S520" s="46" t="n">
        <v>2347</v>
      </c>
      <c r="T520" s="46" t="n">
        <v>2347</v>
      </c>
      <c r="U520" s="46" t="n">
        <v>2956</v>
      </c>
      <c r="V520" s="46" t="n">
        <v>2956</v>
      </c>
      <c r="W520" s="46" t="n"/>
      <c r="X520" s="46" t="n"/>
      <c r="Y520" s="46" t="n"/>
      <c r="Z520" s="46" t="n"/>
      <c r="AA520" s="48" t="n"/>
      <c r="AB520" s="179" t="n"/>
      <c r="AC520" s="180" t="n"/>
      <c r="AD520" s="189">
        <f>SUM(AB520:AC520)</f>
        <v/>
      </c>
      <c r="AE520" s="189">
        <f>AB520*$O520</f>
        <v/>
      </c>
      <c r="AF520" s="189">
        <f>AC520*$O520</f>
        <v/>
      </c>
      <c r="AG520" s="189">
        <f>SUM(AE520:AF520)</f>
        <v/>
      </c>
      <c r="AH520" s="182" t="n"/>
    </row>
    <row r="521" outlineLevel="1" ht="25.5" customHeight="1">
      <c r="A521" s="18" t="inlineStr">
        <is>
          <t>О</t>
        </is>
      </c>
      <c r="B521" s="11">
        <f>IF($K521=B$8,1+IF(OFFSET(B521,-1,0)="",0,OFFSET(B521,-1,0)),IF(B$8&lt;$K521,IF(OFFSET(B521,-1,0)="","ERR",OFFSET(B521,-1,0)),""))</f>
        <v/>
      </c>
      <c r="C521" s="11">
        <f>IF($K521=C$8,1+IF(OFFSET(C521,-1,0)="",0,OFFSET(C521,-1,0)),IF(C$8&lt;$K521,IF(OFFSET(C521,-1,0)="","ERR",OFFSET(C521,-1,0)),""))</f>
        <v/>
      </c>
      <c r="D521" s="11">
        <f>IF($K521=D$8,1+IF(OFFSET(D521,-1,0)="",0,OFFSET(D521,-1,0)),IF(D$8&lt;$K521,IF(OFFSET(D521,-1,0)="","ERR",OFFSET(D521,-1,0)),""))</f>
        <v/>
      </c>
      <c r="E521" s="11">
        <f>IF($K521=E$8,1+IF(OFFSET(E521,-1,0)="",0,OFFSET(E521,-1,0)),IF(E$8&lt;$K521,IF(OFFSET(E521,-1,0)="","ERR",OFFSET(E521,-1,0)),""))</f>
        <v/>
      </c>
      <c r="F521" s="11">
        <f>IF($K521=F$8,1+IF(OFFSET(F521,-1,0)="",0,OFFSET(F521,-1,0)),IF(F$8&lt;$K521,IF(OFFSET(F521,-1,0)="","ERR",OFFSET(F521,-1,0)),""))</f>
        <v/>
      </c>
      <c r="G521" s="11">
        <f>IF($K521=G$8,1+IF(OFFSET(G521,-1,0)="",0,OFFSET(G521,-1,0)),IF(G$8&lt;$K521,IF(OFFSET(G521,-1,0)="","ERR",OFFSET(G521,-1,0)),""))</f>
        <v/>
      </c>
      <c r="H521" s="11">
        <f>IF($K521=H$8,1+IF(OFFSET(H521,-1,0)="",0,OFFSET(H521,-1,0)),IF(H$8&lt;$K521,IF(OFFSET(H521,-1,0)="","ERR",OFFSET(H521,-1,0)),""))</f>
        <v/>
      </c>
      <c r="I521" s="11">
        <f>IF($K521=I$8,1+IF(OFFSET(I521,-1,0)="",0,OFFSET(I521,-1,0)),IF(I$8&lt;$K521,IF(OFFSET(I521,-1,0)="","ERR",OFFSET(I521,-1,0)),""))</f>
        <v/>
      </c>
      <c r="J521" s="46">
        <f>_xlfn.TEXTJOIN(".",1,B521:I521)</f>
        <v/>
      </c>
      <c r="K521" s="46" t="inlineStr">
        <is>
          <t>Л6</t>
        </is>
      </c>
      <c r="L521" s="46" t="inlineStr">
        <is>
          <t>3.3.3.22.3.1</t>
        </is>
      </c>
      <c r="M521" s="47" t="inlineStr">
        <is>
          <t>Прокладка кабеля/провода слаботочных систем и автоматики по конструкциям и в трубах здания: КПСнг(А)-FRHF 1х2х0,75</t>
        </is>
      </c>
      <c r="N521" s="46" t="inlineStr">
        <is>
          <t>пог. м</t>
        </is>
      </c>
      <c r="O521" s="94">
        <f>P521+Q521+S521+V521</f>
        <v/>
      </c>
      <c r="P521" s="46" t="n"/>
      <c r="Q521" s="46" t="n">
        <v>1361</v>
      </c>
      <c r="R521" s="46" t="n">
        <v>1361</v>
      </c>
      <c r="S521" s="46" t="n">
        <v>895</v>
      </c>
      <c r="T521" s="46" t="n">
        <v>895</v>
      </c>
      <c r="U521" s="46" t="n">
        <v>1577</v>
      </c>
      <c r="V521" s="46" t="n">
        <v>1577</v>
      </c>
      <c r="W521" s="46" t="n"/>
      <c r="X521" s="46" t="n"/>
      <c r="Y521" s="46" t="n"/>
      <c r="Z521" s="46" t="n"/>
      <c r="AA521" s="48" t="n"/>
      <c r="AB521" s="179" t="n"/>
      <c r="AC521" s="180" t="n"/>
      <c r="AD521" s="189">
        <f>SUM(AB521:AC521)</f>
        <v/>
      </c>
      <c r="AE521" s="189">
        <f>AB521*$O521</f>
        <v/>
      </c>
      <c r="AF521" s="189">
        <f>AC521*$O521</f>
        <v/>
      </c>
      <c r="AG521" s="189">
        <f>SUM(AE521:AF521)</f>
        <v/>
      </c>
      <c r="AH521" s="182" t="n"/>
    </row>
    <row r="522" outlineLevel="1">
      <c r="A522" s="18" t="n"/>
      <c r="B522" s="11">
        <f>IF($K522=B$8,1+IF(OFFSET(B522,-1,0)="",0,OFFSET(B522,-1,0)),IF(B$8&lt;$K522,IF(OFFSET(B522,-1,0)="","ERR",OFFSET(B522,-1,0)),""))</f>
        <v/>
      </c>
      <c r="C522" s="11">
        <f>IF($K522=C$8,1+IF(OFFSET(C522,-1,0)="",0,OFFSET(C522,-1,0)),IF(C$8&lt;$K522,IF(OFFSET(C522,-1,0)="","ERR",OFFSET(C522,-1,0)),""))</f>
        <v/>
      </c>
      <c r="D522" s="11">
        <f>IF($K522=D$8,1+IF(OFFSET(D522,-1,0)="",0,OFFSET(D522,-1,0)),IF(D$8&lt;$K522,IF(OFFSET(D522,-1,0)="","ERR",OFFSET(D522,-1,0)),""))</f>
        <v/>
      </c>
      <c r="E522" s="11">
        <f>IF($K522=E$8,1+IF(OFFSET(E522,-1,0)="",0,OFFSET(E522,-1,0)),IF(E$8&lt;$K522,IF(OFFSET(E522,-1,0)="","ERR",OFFSET(E522,-1,0)),""))</f>
        <v/>
      </c>
      <c r="F522" s="11">
        <f>IF($K522=F$8,1+IF(OFFSET(F522,-1,0)="",0,OFFSET(F522,-1,0)),IF(F$8&lt;$K522,IF(OFFSET(F522,-1,0)="","ERR",OFFSET(F522,-1,0)),""))</f>
        <v/>
      </c>
      <c r="G522" s="11">
        <f>IF($K522=G$8,1+IF(OFFSET(G522,-1,0)="",0,OFFSET(G522,-1,0)),IF(G$8&lt;$K522,IF(OFFSET(G522,-1,0)="","ERR",OFFSET(G522,-1,0)),""))</f>
        <v/>
      </c>
      <c r="H522" s="11">
        <f>IF($K522=H$8,1+IF(OFFSET(H522,-1,0)="",0,OFFSET(H522,-1,0)),IF(H$8&lt;$K522,IF(OFFSET(H522,-1,0)="","ERR",OFFSET(H522,-1,0)),""))</f>
        <v/>
      </c>
      <c r="I522" s="11">
        <f>IF($K522=I$8,1+IF(OFFSET(I522,-1,0)="",0,OFFSET(I522,-1,0)),IF(I$8&lt;$K522,IF(OFFSET(I522,-1,0)="","ERR",OFFSET(I522,-1,0)),""))</f>
        <v/>
      </c>
      <c r="J522" s="43">
        <f>_xlfn.TEXTJOIN(".",1,B522:I522)</f>
        <v/>
      </c>
      <c r="K522" s="43" t="inlineStr">
        <is>
          <t>Л5</t>
        </is>
      </c>
      <c r="L522" s="43" t="inlineStr">
        <is>
          <t>3.3.3.22.4</t>
        </is>
      </c>
      <c r="M522" s="44" t="inlineStr">
        <is>
          <t>Трубы, гофра, кабеленесущие конструкции</t>
        </is>
      </c>
      <c r="N522" s="43" t="n"/>
      <c r="O522" s="9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  <c r="AA522" s="45" t="n"/>
      <c r="AB522" s="185" t="n"/>
      <c r="AC522" s="186" t="n"/>
      <c r="AD522" s="186" t="n"/>
      <c r="AE522" s="186" t="n"/>
      <c r="AF522" s="186" t="n"/>
      <c r="AG522" s="186" t="n"/>
      <c r="AH522" s="178" t="n"/>
    </row>
    <row r="523" outlineLevel="1" ht="25.5" customHeight="1">
      <c r="A523" s="18" t="inlineStr">
        <is>
          <t>О</t>
        </is>
      </c>
      <c r="B523" s="11">
        <f>IF($K523=B$8,1+IF(OFFSET(B523,-1,0)="",0,OFFSET(B523,-1,0)),IF(B$8&lt;$K523,IF(OFFSET(B523,-1,0)="","ERR",OFFSET(B523,-1,0)),""))</f>
        <v/>
      </c>
      <c r="C523" s="11">
        <f>IF($K523=C$8,1+IF(OFFSET(C523,-1,0)="",0,OFFSET(C523,-1,0)),IF(C$8&lt;$K523,IF(OFFSET(C523,-1,0)="","ERR",OFFSET(C523,-1,0)),""))</f>
        <v/>
      </c>
      <c r="D523" s="11">
        <f>IF($K523=D$8,1+IF(OFFSET(D523,-1,0)="",0,OFFSET(D523,-1,0)),IF(D$8&lt;$K523,IF(OFFSET(D523,-1,0)="","ERR",OFFSET(D523,-1,0)),""))</f>
        <v/>
      </c>
      <c r="E523" s="11">
        <f>IF($K523=E$8,1+IF(OFFSET(E523,-1,0)="",0,OFFSET(E523,-1,0)),IF(E$8&lt;$K523,IF(OFFSET(E523,-1,0)="","ERR",OFFSET(E523,-1,0)),""))</f>
        <v/>
      </c>
      <c r="F523" s="11">
        <f>IF($K523=F$8,1+IF(OFFSET(F523,-1,0)="",0,OFFSET(F523,-1,0)),IF(F$8&lt;$K523,IF(OFFSET(F523,-1,0)="","ERR",OFFSET(F523,-1,0)),""))</f>
        <v/>
      </c>
      <c r="G523" s="11">
        <f>IF($K523=G$8,1+IF(OFFSET(G523,-1,0)="",0,OFFSET(G523,-1,0)),IF(G$8&lt;$K523,IF(OFFSET(G523,-1,0)="","ERR",OFFSET(G523,-1,0)),""))</f>
        <v/>
      </c>
      <c r="H523" s="11">
        <f>IF($K523=H$8,1+IF(OFFSET(H523,-1,0)="",0,OFFSET(H523,-1,0)),IF(H$8&lt;$K523,IF(OFFSET(H523,-1,0)="","ERR",OFFSET(H523,-1,0)),""))</f>
        <v/>
      </c>
      <c r="I523" s="11">
        <f>IF($K523=I$8,1+IF(OFFSET(I523,-1,0)="",0,OFFSET(I523,-1,0)),IF(I$8&lt;$K523,IF(OFFSET(I523,-1,0)="","ERR",OFFSET(I523,-1,0)),""))</f>
        <v/>
      </c>
      <c r="J523" s="46">
        <f>_xlfn.TEXTJOIN(".",1,B523:I523)</f>
        <v/>
      </c>
      <c r="K523" s="46" t="inlineStr">
        <is>
          <t>Л6</t>
        </is>
      </c>
      <c r="L523" s="46" t="inlineStr">
        <is>
          <t>3.3.3.22.4.6</t>
        </is>
      </c>
      <c r="M523" s="47" t="inlineStr">
        <is>
          <t>Монтаж гильз из трубы стальной диаметром до 50 мм с последующей противопожарной заделкой: Труба ВГП бесшовная д.25х1 ГОСТ 3262-75</t>
        </is>
      </c>
      <c r="N523" s="46" t="inlineStr">
        <is>
          <t>пог. м</t>
        </is>
      </c>
      <c r="O523" s="94">
        <f>P523+Q523+S523+V523</f>
        <v/>
      </c>
      <c r="P523" s="46" t="n"/>
      <c r="Q523" s="46">
        <f>21+7</f>
        <v/>
      </c>
      <c r="R523" s="46">
        <f>21+7</f>
        <v/>
      </c>
      <c r="S523" s="46">
        <f>13+5</f>
        <v/>
      </c>
      <c r="T523" s="46">
        <f>13+5</f>
        <v/>
      </c>
      <c r="U523" s="46">
        <f>16+8</f>
        <v/>
      </c>
      <c r="V523" s="46">
        <f>16+8</f>
        <v/>
      </c>
      <c r="W523" s="46" t="n"/>
      <c r="X523" s="46" t="n"/>
      <c r="Y523" s="46" t="n"/>
      <c r="Z523" s="46" t="n"/>
      <c r="AA523" s="48" t="n"/>
      <c r="AB523" s="179" t="n"/>
      <c r="AC523" s="199" t="n"/>
      <c r="AD523" s="189">
        <f>SUM(AB523:AC523)</f>
        <v/>
      </c>
      <c r="AE523" s="189">
        <f>AB523*$O523</f>
        <v/>
      </c>
      <c r="AF523" s="189">
        <f>AC523*$O523</f>
        <v/>
      </c>
      <c r="AG523" s="189">
        <f>SUM(AE523:AF523)</f>
        <v/>
      </c>
      <c r="AH523" s="182" t="n"/>
    </row>
    <row r="524" outlineLevel="1">
      <c r="A524" s="18" t="n"/>
      <c r="B524" s="11">
        <f>IF($K524=B$8,1+IF(OFFSET(B524,-1,0)="",0,OFFSET(B524,-1,0)),IF(B$8&lt;$K524,IF(OFFSET(B524,-1,0)="","ERR",OFFSET(B524,-1,0)),""))</f>
        <v/>
      </c>
      <c r="C524" s="11">
        <f>IF($K524=C$8,1+IF(OFFSET(C524,-1,0)="",0,OFFSET(C524,-1,0)),IF(C$8&lt;$K524,IF(OFFSET(C524,-1,0)="","ERR",OFFSET(C524,-1,0)),""))</f>
        <v/>
      </c>
      <c r="D524" s="11">
        <f>IF($K524=D$8,1+IF(OFFSET(D524,-1,0)="",0,OFFSET(D524,-1,0)),IF(D$8&lt;$K524,IF(OFFSET(D524,-1,0)="","ERR",OFFSET(D524,-1,0)),""))</f>
        <v/>
      </c>
      <c r="E524" s="11">
        <f>IF($K524=E$8,1+IF(OFFSET(E524,-1,0)="",0,OFFSET(E524,-1,0)),IF(E$8&lt;$K524,IF(OFFSET(E524,-1,0)="","ERR",OFFSET(E524,-1,0)),""))</f>
        <v/>
      </c>
      <c r="F524" s="11">
        <f>IF($K524=F$8,1+IF(OFFSET(F524,-1,0)="",0,OFFSET(F524,-1,0)),IF(F$8&lt;$K524,IF(OFFSET(F524,-1,0)="","ERR",OFFSET(F524,-1,0)),""))</f>
        <v/>
      </c>
      <c r="G524" s="11">
        <f>IF($K524=G$8,1+IF(OFFSET(G524,-1,0)="",0,OFFSET(G524,-1,0)),IF(G$8&lt;$K524,IF(OFFSET(G524,-1,0)="","ERR",OFFSET(G524,-1,0)),""))</f>
        <v/>
      </c>
      <c r="H524" s="11">
        <f>IF($K524=H$8,1+IF(OFFSET(H524,-1,0)="",0,OFFSET(H524,-1,0)),IF(H$8&lt;$K524,IF(OFFSET(H524,-1,0)="","ERR",OFFSET(H524,-1,0)),""))</f>
        <v/>
      </c>
      <c r="I524" s="11">
        <f>IF($K524=I$8,1+IF(OFFSET(I524,-1,0)="",0,OFFSET(I524,-1,0)),IF(I$8&lt;$K524,IF(OFFSET(I524,-1,0)="","ERR",OFFSET(I524,-1,0)),""))</f>
        <v/>
      </c>
      <c r="J524" s="43">
        <f>_xlfn.TEXTJOIN(".",1,B524:I524)</f>
        <v/>
      </c>
      <c r="K524" s="43" t="inlineStr">
        <is>
          <t>Л5</t>
        </is>
      </c>
      <c r="L524" s="43" t="inlineStr">
        <is>
          <t>3.3.3.22.5</t>
        </is>
      </c>
      <c r="M524" s="44" t="inlineStr">
        <is>
          <t>Электромонтажные изделия и материалы</t>
        </is>
      </c>
      <c r="N524" s="43" t="n"/>
      <c r="O524" s="9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  <c r="AA524" s="45" t="n"/>
      <c r="AB524" s="185" t="n"/>
      <c r="AC524" s="186" t="n"/>
      <c r="AD524" s="186" t="n"/>
      <c r="AE524" s="186" t="n"/>
      <c r="AF524" s="186" t="n"/>
      <c r="AG524" s="186" t="n"/>
      <c r="AH524" s="178" t="n"/>
    </row>
    <row r="525" outlineLevel="1" ht="25.5" customHeight="1">
      <c r="A525" s="18" t="inlineStr">
        <is>
          <t>О</t>
        </is>
      </c>
      <c r="B525" s="11">
        <f>IF($K525=B$8,1+IF(OFFSET(B525,-1,0)="",0,OFFSET(B525,-1,0)),IF(B$8&lt;$K525,IF(OFFSET(B525,-1,0)="","ERR",OFFSET(B525,-1,0)),""))</f>
        <v/>
      </c>
      <c r="C525" s="11">
        <f>IF($K525=C$8,1+IF(OFFSET(C525,-1,0)="",0,OFFSET(C525,-1,0)),IF(C$8&lt;$K525,IF(OFFSET(C525,-1,0)="","ERR",OFFSET(C525,-1,0)),""))</f>
        <v/>
      </c>
      <c r="D525" s="11">
        <f>IF($K525=D$8,1+IF(OFFSET(D525,-1,0)="",0,OFFSET(D525,-1,0)),IF(D$8&lt;$K525,IF(OFFSET(D525,-1,0)="","ERR",OFFSET(D525,-1,0)),""))</f>
        <v/>
      </c>
      <c r="E525" s="11">
        <f>IF($K525=E$8,1+IF(OFFSET(E525,-1,0)="",0,OFFSET(E525,-1,0)),IF(E$8&lt;$K525,IF(OFFSET(E525,-1,0)="","ERR",OFFSET(E525,-1,0)),""))</f>
        <v/>
      </c>
      <c r="F525" s="11">
        <f>IF($K525=F$8,1+IF(OFFSET(F525,-1,0)="",0,OFFSET(F525,-1,0)),IF(F$8&lt;$K525,IF(OFFSET(F525,-1,0)="","ERR",OFFSET(F525,-1,0)),""))</f>
        <v/>
      </c>
      <c r="G525" s="11">
        <f>IF($K525=G$8,1+IF(OFFSET(G525,-1,0)="",0,OFFSET(G525,-1,0)),IF(G$8&lt;$K525,IF(OFFSET(G525,-1,0)="","ERR",OFFSET(G525,-1,0)),""))</f>
        <v/>
      </c>
      <c r="H525" s="11">
        <f>IF($K525=H$8,1+IF(OFFSET(H525,-1,0)="",0,OFFSET(H525,-1,0)),IF(H$8&lt;$K525,IF(OFFSET(H525,-1,0)="","ERR",OFFSET(H525,-1,0)),""))</f>
        <v/>
      </c>
      <c r="I525" s="11">
        <f>IF($K525=I$8,1+IF(OFFSET(I525,-1,0)="",0,OFFSET(I525,-1,0)),IF(I$8&lt;$K525,IF(OFFSET(I525,-1,0)="","ERR",OFFSET(I525,-1,0)),""))</f>
        <v/>
      </c>
      <c r="J525" s="46">
        <f>_xlfn.TEXTJOIN(".",1,B525:I525)</f>
        <v/>
      </c>
      <c r="K525" s="46" t="inlineStr">
        <is>
          <t>Л6</t>
        </is>
      </c>
      <c r="L525" s="46" t="inlineStr">
        <is>
          <t>3.3.3.22.5.1</t>
        </is>
      </c>
      <c r="M525" s="47" t="inlineStr">
        <is>
          <t>Монтаж коробки распределительной, ответвительной, распаячной или протяжной:Коробка огнестойкая монтажная КОМ-П/4, «Авангард»</t>
        </is>
      </c>
      <c r="N525" s="46" t="inlineStr">
        <is>
          <t>шт</t>
        </is>
      </c>
      <c r="O525" s="94">
        <f>P525+Q525+S525+V525</f>
        <v/>
      </c>
      <c r="P525" s="46" t="n"/>
      <c r="Q525" s="46" t="n">
        <v>15</v>
      </c>
      <c r="R525" s="46" t="n">
        <v>15</v>
      </c>
      <c r="S525" s="46" t="n">
        <v>15</v>
      </c>
      <c r="T525" s="46" t="n">
        <v>15</v>
      </c>
      <c r="U525" s="46" t="n">
        <v>17</v>
      </c>
      <c r="V525" s="46" t="n">
        <v>17</v>
      </c>
      <c r="W525" s="46" t="n"/>
      <c r="X525" s="46" t="n"/>
      <c r="Y525" s="46" t="n"/>
      <c r="Z525" s="46" t="n"/>
      <c r="AA525" s="48" t="n"/>
      <c r="AB525" s="179" t="n"/>
      <c r="AC525" s="180" t="n"/>
      <c r="AD525" s="189">
        <f>SUM(AB525:AC525)</f>
        <v/>
      </c>
      <c r="AE525" s="189">
        <f>AB525*$O525</f>
        <v/>
      </c>
      <c r="AF525" s="189">
        <f>AC525*$O525</f>
        <v/>
      </c>
      <c r="AG525" s="189">
        <f>SUM(AE525:AF525)</f>
        <v/>
      </c>
      <c r="AH525" s="182" t="n"/>
    </row>
    <row r="526" outlineLevel="1" ht="25.5" customHeight="1">
      <c r="A526" s="18" t="inlineStr">
        <is>
          <t>О</t>
        </is>
      </c>
      <c r="B526" s="11">
        <f>IF($K526=B$8,1+IF(OFFSET(B526,-1,0)="",0,OFFSET(B526,-1,0)),IF(B$8&lt;$K526,IF(OFFSET(B526,-1,0)="","ERR",OFFSET(B526,-1,0)),""))</f>
        <v/>
      </c>
      <c r="C526" s="11">
        <f>IF($K526=C$8,1+IF(OFFSET(C526,-1,0)="",0,OFFSET(C526,-1,0)),IF(C$8&lt;$K526,IF(OFFSET(C526,-1,0)="","ERR",OFFSET(C526,-1,0)),""))</f>
        <v/>
      </c>
      <c r="D526" s="11">
        <f>IF($K526=D$8,1+IF(OFFSET(D526,-1,0)="",0,OFFSET(D526,-1,0)),IF(D$8&lt;$K526,IF(OFFSET(D526,-1,0)="","ERR",OFFSET(D526,-1,0)),""))</f>
        <v/>
      </c>
      <c r="E526" s="11">
        <f>IF($K526=E$8,1+IF(OFFSET(E526,-1,0)="",0,OFFSET(E526,-1,0)),IF(E$8&lt;$K526,IF(OFFSET(E526,-1,0)="","ERR",OFFSET(E526,-1,0)),""))</f>
        <v/>
      </c>
      <c r="F526" s="11">
        <f>IF($K526=F$8,1+IF(OFFSET(F526,-1,0)="",0,OFFSET(F526,-1,0)),IF(F$8&lt;$K526,IF(OFFSET(F526,-1,0)="","ERR",OFFSET(F526,-1,0)),""))</f>
        <v/>
      </c>
      <c r="G526" s="11">
        <f>IF($K526=G$8,1+IF(OFFSET(G526,-1,0)="",0,OFFSET(G526,-1,0)),IF(G$8&lt;$K526,IF(OFFSET(G526,-1,0)="","ERR",OFFSET(G526,-1,0)),""))</f>
        <v/>
      </c>
      <c r="H526" s="11">
        <f>IF($K526=H$8,1+IF(OFFSET(H526,-1,0)="",0,OFFSET(H526,-1,0)),IF(H$8&lt;$K526,IF(OFFSET(H526,-1,0)="","ERR",OFFSET(H526,-1,0)),""))</f>
        <v/>
      </c>
      <c r="I526" s="11">
        <f>IF($K526=I$8,1+IF(OFFSET(I526,-1,0)="",0,OFFSET(I526,-1,0)),IF(I$8&lt;$K526,IF(OFFSET(I526,-1,0)="","ERR",OFFSET(I526,-1,0)),""))</f>
        <v/>
      </c>
      <c r="J526" s="46">
        <f>_xlfn.TEXTJOIN(".",1,B526:I526)</f>
        <v/>
      </c>
      <c r="K526" s="46" t="inlineStr">
        <is>
          <t>Л6</t>
        </is>
      </c>
      <c r="L526" s="46" t="inlineStr">
        <is>
          <t>3.3.3.22.5.1</t>
        </is>
      </c>
      <c r="M526" s="47" t="inlineStr">
        <is>
          <t>Монтаж коробки распределительной, ответвительной, распаячной или протяжной:Коробка огнестойкая монтажная, ККО МЕТА 7403-4, «МЕТА»</t>
        </is>
      </c>
      <c r="N526" s="46" t="inlineStr">
        <is>
          <t>шт</t>
        </is>
      </c>
      <c r="O526" s="94">
        <f>P526+Q526+S526+V526</f>
        <v/>
      </c>
      <c r="P526" s="46" t="n"/>
      <c r="Q526" s="46" t="n">
        <v>65</v>
      </c>
      <c r="R526" s="46" t="n">
        <v>65</v>
      </c>
      <c r="S526" s="46" t="n">
        <v>46</v>
      </c>
      <c r="T526" s="46" t="n">
        <v>46</v>
      </c>
      <c r="U526" s="46" t="n">
        <v>83</v>
      </c>
      <c r="V526" s="46" t="n">
        <v>83</v>
      </c>
      <c r="W526" s="46" t="n"/>
      <c r="X526" s="46" t="n"/>
      <c r="Y526" s="46" t="n"/>
      <c r="Z526" s="46" t="n"/>
      <c r="AA526" s="48" t="n"/>
      <c r="AB526" s="179" t="n"/>
      <c r="AC526" s="180" t="n"/>
      <c r="AD526" s="189">
        <f>SUM(AB526:AC526)</f>
        <v/>
      </c>
      <c r="AE526" s="189">
        <f>AB526*$O526</f>
        <v/>
      </c>
      <c r="AF526" s="189">
        <f>AC526*$O526</f>
        <v/>
      </c>
      <c r="AG526" s="189">
        <f>SUM(AE526:AF526)</f>
        <v/>
      </c>
      <c r="AH526" s="182" t="n"/>
    </row>
    <row r="527">
      <c r="A527" s="18" t="n"/>
      <c r="B527" s="11">
        <f>IF($K527=B$8,1+IF(OFFSET(B527,-1,0)="",0,OFFSET(B527,-1,0)),IF(B$8&lt;$K527,IF(OFFSET(B527,-1,0)="","ERR",OFFSET(B527,-1,0)),""))</f>
        <v/>
      </c>
      <c r="C527" s="11">
        <f>IF($K527=C$8,1+IF(OFFSET(C527,-1,0)="",0,OFFSET(C527,-1,0)),IF(C$8&lt;$K527,IF(OFFSET(C527,-1,0)="","ERR",OFFSET(C527,-1,0)),""))</f>
        <v/>
      </c>
      <c r="D527" s="11">
        <f>IF($K527=D$8,1+IF(OFFSET(D527,-1,0)="",0,OFFSET(D527,-1,0)),IF(D$8&lt;$K527,IF(OFFSET(D527,-1,0)="","ERR",OFFSET(D527,-1,0)),""))</f>
        <v/>
      </c>
      <c r="E527" s="11">
        <f>IF($K527=E$8,1+IF(OFFSET(E527,-1,0)="",0,OFFSET(E527,-1,0)),IF(E$8&lt;$K527,IF(OFFSET(E527,-1,0)="","ERR",OFFSET(E527,-1,0)),""))</f>
        <v/>
      </c>
      <c r="F527" s="11">
        <f>IF($K527=F$8,1+IF(OFFSET(F527,-1,0)="",0,OFFSET(F527,-1,0)),IF(F$8&lt;$K527,IF(OFFSET(F527,-1,0)="","ERR",OFFSET(F527,-1,0)),""))</f>
        <v/>
      </c>
      <c r="G527" s="11">
        <f>IF($K527=G$8,1+IF(OFFSET(G527,-1,0)="",0,OFFSET(G527,-1,0)),IF(G$8&lt;$K527,IF(OFFSET(G527,-1,0)="","ERR",OFFSET(G527,-1,0)),""))</f>
        <v/>
      </c>
      <c r="H527" s="11">
        <f>IF($K527=H$8,1+IF(OFFSET(H527,-1,0)="",0,OFFSET(H527,-1,0)),IF(H$8&lt;$K527,IF(OFFSET(H527,-1,0)="","ERR",OFFSET(H527,-1,0)),""))</f>
        <v/>
      </c>
      <c r="I527" s="11">
        <f>IF($K527=I$8,1+IF(OFFSET(I527,-1,0)="",0,OFFSET(I527,-1,0)),IF(I$8&lt;$K527,IF(OFFSET(I527,-1,0)="","ERR",OFFSET(I527,-1,0)),""))</f>
        <v/>
      </c>
      <c r="J527" s="40">
        <f>_xlfn.TEXTJOIN(".",1,B527:I527)</f>
        <v/>
      </c>
      <c r="K527" s="40" t="inlineStr">
        <is>
          <t>Л4</t>
        </is>
      </c>
      <c r="L527" s="40" t="inlineStr">
        <is>
          <t>3.3.3.28</t>
        </is>
      </c>
      <c r="M527" s="41" t="inlineStr">
        <is>
          <t>Пусконаладочные работы</t>
        </is>
      </c>
      <c r="N527" s="40" t="n"/>
      <c r="O527" s="92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2" t="n"/>
      <c r="AB527" s="183" t="n"/>
      <c r="AC527" s="184" t="n"/>
      <c r="AD527" s="184" t="n"/>
      <c r="AE527" s="184" t="n"/>
      <c r="AF527" s="184" t="n"/>
      <c r="AG527" s="184" t="n"/>
      <c r="AH527" s="175" t="n"/>
    </row>
    <row r="528" outlineLevel="1">
      <c r="A528" s="18" t="n"/>
      <c r="B528" s="11">
        <f>IF($K528=B$8,1+IF(OFFSET(B528,-1,0)="",0,OFFSET(B528,-1,0)),IF(B$8&lt;$K528,IF(OFFSET(B528,-1,0)="","ERR",OFFSET(B528,-1,0)),""))</f>
        <v/>
      </c>
      <c r="C528" s="11">
        <f>IF($K528=C$8,1+IF(OFFSET(C528,-1,0)="",0,OFFSET(C528,-1,0)),IF(C$8&lt;$K528,IF(OFFSET(C528,-1,0)="","ERR",OFFSET(C528,-1,0)),""))</f>
        <v/>
      </c>
      <c r="D528" s="11">
        <f>IF($K528=D$8,1+IF(OFFSET(D528,-1,0)="",0,OFFSET(D528,-1,0)),IF(D$8&lt;$K528,IF(OFFSET(D528,-1,0)="","ERR",OFFSET(D528,-1,0)),""))</f>
        <v/>
      </c>
      <c r="E528" s="11">
        <f>IF($K528=E$8,1+IF(OFFSET(E528,-1,0)="",0,OFFSET(E528,-1,0)),IF(E$8&lt;$K528,IF(OFFSET(E528,-1,0)="","ERR",OFFSET(E528,-1,0)),""))</f>
        <v/>
      </c>
      <c r="F528" s="11">
        <f>IF($K528=F$8,1+IF(OFFSET(F528,-1,0)="",0,OFFSET(F528,-1,0)),IF(F$8&lt;$K528,IF(OFFSET(F528,-1,0)="","ERR",OFFSET(F528,-1,0)),""))</f>
        <v/>
      </c>
      <c r="G528" s="11">
        <f>IF($K528=G$8,1+IF(OFFSET(G528,-1,0)="",0,OFFSET(G528,-1,0)),IF(G$8&lt;$K528,IF(OFFSET(G528,-1,0)="","ERR",OFFSET(G528,-1,0)),""))</f>
        <v/>
      </c>
      <c r="H528" s="11">
        <f>IF($K528=H$8,1+IF(OFFSET(H528,-1,0)="",0,OFFSET(H528,-1,0)),IF(H$8&lt;$K528,IF(OFFSET(H528,-1,0)="","ERR",OFFSET(H528,-1,0)),""))</f>
        <v/>
      </c>
      <c r="I528" s="11">
        <f>IF($K528=I$8,1+IF(OFFSET(I528,-1,0)="",0,OFFSET(I528,-1,0)),IF(I$8&lt;$K528,IF(OFFSET(I528,-1,0)="","ERR",OFFSET(I528,-1,0)),""))</f>
        <v/>
      </c>
      <c r="J528" s="43">
        <f>_xlfn.TEXTJOIN(".",1,B528:I528)</f>
        <v/>
      </c>
      <c r="K528" s="43" t="inlineStr">
        <is>
          <t>Л5</t>
        </is>
      </c>
      <c r="L528" s="43" t="inlineStr">
        <is>
          <t>3.3.3.28.1</t>
        </is>
      </c>
      <c r="M528" s="44" t="inlineStr">
        <is>
          <t>ПНР слаботочных систем</t>
        </is>
      </c>
      <c r="N528" s="43" t="n"/>
      <c r="O528" s="9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  <c r="AA528" s="45" t="n"/>
      <c r="AB528" s="185" t="n"/>
      <c r="AC528" s="186" t="n"/>
      <c r="AD528" s="186" t="n"/>
      <c r="AE528" s="186" t="n"/>
      <c r="AF528" s="186" t="n"/>
      <c r="AG528" s="186" t="n"/>
      <c r="AH528" s="178" t="n"/>
    </row>
    <row r="529" outlineLevel="1" ht="26.25" customHeight="1" thickBot="1">
      <c r="A529" s="18" t="inlineStr">
        <is>
          <t>З</t>
        </is>
      </c>
      <c r="B529" s="11">
        <f>IF($K529=B$8,1+IF(OFFSET(B529,-1,0)="",0,OFFSET(B529,-1,0)),IF(B$8&lt;$K529,IF(OFFSET(B529,-1,0)="","ERR",OFFSET(B529,-1,0)),""))</f>
        <v/>
      </c>
      <c r="C529" s="11">
        <f>IF($K529=C$8,1+IF(OFFSET(C529,-1,0)="",0,OFFSET(C529,-1,0)),IF(C$8&lt;$K529,IF(OFFSET(C529,-1,0)="","ERR",OFFSET(C529,-1,0)),""))</f>
        <v/>
      </c>
      <c r="D529" s="11">
        <f>IF($K529=D$8,1+IF(OFFSET(D529,-1,0)="",0,OFFSET(D529,-1,0)),IF(D$8&lt;$K529,IF(OFFSET(D529,-1,0)="","ERR",OFFSET(D529,-1,0)),""))</f>
        <v/>
      </c>
      <c r="E529" s="11">
        <f>IF($K529=E$8,1+IF(OFFSET(E529,-1,0)="",0,OFFSET(E529,-1,0)),IF(E$8&lt;$K529,IF(OFFSET(E529,-1,0)="","ERR",OFFSET(E529,-1,0)),""))</f>
        <v/>
      </c>
      <c r="F529" s="11">
        <f>IF($K529=F$8,1+IF(OFFSET(F529,-1,0)="",0,OFFSET(F529,-1,0)),IF(F$8&lt;$K529,IF(OFFSET(F529,-1,0)="","ERR",OFFSET(F529,-1,0)),""))</f>
        <v/>
      </c>
      <c r="G529" s="11">
        <f>IF($K529=G$8,1+IF(OFFSET(G529,-1,0)="",0,OFFSET(G529,-1,0)),IF(G$8&lt;$K529,IF(OFFSET(G529,-1,0)="","ERR",OFFSET(G529,-1,0)),""))</f>
        <v/>
      </c>
      <c r="H529" s="11">
        <f>IF($K529=H$8,1+IF(OFFSET(H529,-1,0)="",0,OFFSET(H529,-1,0)),IF(H$8&lt;$K529,IF(OFFSET(H529,-1,0)="","ERR",OFFSET(H529,-1,0)),""))</f>
        <v/>
      </c>
      <c r="I529" s="11">
        <f>IF($K529=I$8,1+IF(OFFSET(I529,-1,0)="",0,OFFSET(I529,-1,0)),IF(I$8&lt;$K529,IF(OFFSET(I529,-1,0)="","ERR",OFFSET(I529,-1,0)),""))</f>
        <v/>
      </c>
      <c r="J529" s="46">
        <f>_xlfn.TEXTJOIN(".",1,B529:I529)</f>
        <v/>
      </c>
      <c r="K529" s="46" t="inlineStr">
        <is>
          <t>Л6</t>
        </is>
      </c>
      <c r="L529" s="46" t="inlineStr">
        <is>
          <t>3.3.3.28.1.1</t>
        </is>
      </c>
      <c r="M529" s="47" t="inlineStr">
        <is>
          <t>Проведение комплекса пуско-наладочных работ слаботочных систем, наладки и испытания оборудования, сдача в надзорные органы.</t>
        </is>
      </c>
      <c r="N529" s="46" t="inlineStr">
        <is>
          <t>Комплекс</t>
        </is>
      </c>
      <c r="O529" s="94">
        <f>P529+R529+T529+V529</f>
        <v/>
      </c>
      <c r="P529" s="46" t="n"/>
      <c r="Q529" s="46" t="n">
        <v>1</v>
      </c>
      <c r="R529" s="46" t="n">
        <v>1</v>
      </c>
      <c r="S529" s="46" t="n">
        <v>1</v>
      </c>
      <c r="T529" s="46" t="n">
        <v>1</v>
      </c>
      <c r="U529" s="46" t="n">
        <v>1</v>
      </c>
      <c r="V529" s="46" t="n">
        <v>1</v>
      </c>
      <c r="W529" s="46" t="n"/>
      <c r="X529" s="46" t="n"/>
      <c r="Y529" s="46" t="n"/>
      <c r="Z529" s="46" t="n"/>
      <c r="AA529" s="48" t="n"/>
      <c r="AB529" s="187" t="n"/>
      <c r="AC529" s="180" t="n"/>
      <c r="AD529" s="189">
        <f>SUM(AB529:AC529)</f>
        <v/>
      </c>
      <c r="AE529" s="189">
        <f>AB529*$O529</f>
        <v/>
      </c>
      <c r="AF529" s="189">
        <f>AC529*$O529</f>
        <v/>
      </c>
      <c r="AG529" s="205">
        <f>SUM(AE529:AF529)</f>
        <v/>
      </c>
      <c r="AH529" s="182" t="n"/>
    </row>
    <row r="530" ht="35.25" customHeight="1" thickBot="1" thickTop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75" t="n"/>
      <c r="K530" s="75" t="n"/>
      <c r="L530" s="76" t="n"/>
      <c r="M530" s="77" t="inlineStr">
        <is>
          <t>ВСЕГО, с НДС</t>
        </is>
      </c>
      <c r="N530" s="78" t="n"/>
      <c r="O530" s="96" t="n"/>
      <c r="P530" s="7" t="n"/>
      <c r="Q530" s="8" t="n"/>
      <c r="R530" s="8" t="n"/>
      <c r="S530" s="7" t="n"/>
      <c r="T530" s="7" t="n"/>
      <c r="U530" s="8" t="n"/>
      <c r="V530" s="8" t="n"/>
      <c r="W530" s="78" t="n"/>
      <c r="X530" s="79" t="n"/>
      <c r="Y530" s="79" t="n"/>
      <c r="Z530" s="79" t="n"/>
      <c r="AA530" s="80" t="n"/>
      <c r="AB530" s="200" t="n"/>
      <c r="AC530" s="201" t="n"/>
      <c r="AD530" s="201" t="n"/>
      <c r="AE530" s="202">
        <f>SUM(AE13:AE529,AG531)</f>
        <v/>
      </c>
      <c r="AF530" s="203">
        <f>SUM(AF13:AF529)</f>
        <v/>
      </c>
      <c r="AG530" s="97">
        <f>SUM(AE530:AF530)</f>
        <v/>
      </c>
      <c r="AH530" s="204" t="n"/>
    </row>
    <row r="531" ht="15.75" customHeight="1" thickTop="1">
      <c r="J531" s="81" t="n"/>
      <c r="K531" s="81" t="n"/>
      <c r="L531" s="82" t="n"/>
      <c r="M531" s="88" t="inlineStr">
        <is>
          <t>Стоимость ГТ</t>
        </is>
      </c>
      <c r="N531" s="81" t="n"/>
      <c r="O531" s="84" t="n"/>
      <c r="P531" s="83" t="n"/>
      <c r="Q531" s="83" t="n"/>
      <c r="R531" s="83" t="n"/>
      <c r="S531" s="83" t="n"/>
      <c r="T531" s="83" t="n"/>
      <c r="U531" s="83" t="n"/>
      <c r="V531" s="83" t="n"/>
      <c r="W531" s="84" t="n"/>
      <c r="X531" s="83" t="n"/>
      <c r="Y531" s="83" t="n"/>
      <c r="Z531" s="83" t="n"/>
      <c r="AA531" s="85" t="n"/>
      <c r="AB531" s="86" t="n"/>
      <c r="AC531" s="86" t="n"/>
      <c r="AD531" s="86" t="n"/>
      <c r="AE531" s="86" t="n"/>
      <c r="AF531" s="86" t="n"/>
      <c r="AG531" s="86" t="n">
        <v>36522257.39</v>
      </c>
      <c r="AH531" s="87" t="n"/>
    </row>
    <row r="532" ht="20.25" customHeight="1">
      <c r="J532" s="101" t="n"/>
      <c r="K532" s="101" t="n"/>
      <c r="L532" s="102" t="n"/>
      <c r="M532" s="113" t="inlineStr">
        <is>
          <t xml:space="preserve">Тендерные условия </t>
        </is>
      </c>
      <c r="N532" s="228" t="n"/>
      <c r="O532" s="228" t="n"/>
      <c r="P532" s="228" t="n"/>
      <c r="Q532" s="228" t="n"/>
      <c r="R532" s="228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  <c r="AA532" s="228" t="n"/>
      <c r="AB532" s="98" t="n"/>
      <c r="AC532" s="98" t="n"/>
      <c r="AD532" s="98" t="n"/>
      <c r="AE532" s="98" t="n"/>
      <c r="AF532" s="98" t="n"/>
      <c r="AG532" s="98" t="n"/>
      <c r="AH532" s="99" t="n"/>
    </row>
    <row r="533" ht="25.9" customHeight="1">
      <c r="J533" s="2" t="n">
        <v>1</v>
      </c>
      <c r="M533" s="111" t="inlineStr">
        <is>
          <t>Система налогообложения организации (Указать % НДС)</t>
        </is>
      </c>
      <c r="N533" s="229" t="n"/>
      <c r="O533" s="229" t="n"/>
      <c r="P533" s="229" t="n"/>
      <c r="Q533" s="229" t="n"/>
      <c r="R533" s="229" t="n"/>
      <c r="S533" s="229" t="n"/>
      <c r="T533" s="229" t="n"/>
      <c r="U533" s="229" t="n"/>
      <c r="V533" s="229" t="n"/>
      <c r="W533" s="229" t="n"/>
      <c r="X533" s="229" t="n"/>
      <c r="Y533" s="229" t="n"/>
      <c r="Z533" s="229" t="n"/>
      <c r="AA533" s="230" t="n"/>
      <c r="AB533" s="231" t="n"/>
      <c r="AC533" s="229" t="n"/>
      <c r="AD533" s="229" t="n"/>
      <c r="AE533" s="229" t="n"/>
      <c r="AF533" s="229" t="n"/>
      <c r="AG533" s="229" t="n"/>
      <c r="AH533" s="232" t="n"/>
    </row>
    <row r="534" ht="48.6" customHeight="1">
      <c r="J534" s="2" t="n">
        <v>2</v>
      </c>
      <c r="M534" s="111" t="inlineStr">
        <is>
          <t>Срок выполнения работ  (сроки уточняются в процессе проведения тендера по согласованию с Директором проекта)
Начало: 24.08.2026 Окончание: ПЧ К4– 30.03.2027 (да/нет)</t>
        </is>
      </c>
      <c r="N534" s="229" t="n"/>
      <c r="O534" s="229" t="n"/>
      <c r="P534" s="229" t="n"/>
      <c r="Q534" s="229" t="n"/>
      <c r="R534" s="229" t="n"/>
      <c r="S534" s="229" t="n"/>
      <c r="T534" s="229" t="n"/>
      <c r="U534" s="229" t="n"/>
      <c r="V534" s="229" t="n"/>
      <c r="W534" s="229" t="n"/>
      <c r="X534" s="229" t="n"/>
      <c r="Y534" s="229" t="n"/>
      <c r="Z534" s="229" t="n"/>
      <c r="AA534" s="230" t="n"/>
      <c r="AB534" s="231" t="n"/>
      <c r="AC534" s="229" t="n"/>
      <c r="AD534" s="229" t="n"/>
      <c r="AE534" s="229" t="n"/>
      <c r="AF534" s="229" t="n"/>
      <c r="AG534" s="229" t="n"/>
      <c r="AH534" s="232" t="n"/>
    </row>
    <row r="535" ht="93" customHeight="1">
      <c r="J535" s="2" t="n">
        <v>3</v>
      </c>
      <c r="M535" s="111" t="inlineStr">
        <is>
          <t>Авансовый платеж в размере не более 30% от суммы:
- планируемого выполнения работ/услуг в отчетном периоде (месяц) при стоимости работ в Договоре более 10 000 000 рублей;
- работ в договоре при стоимости работ не более 10 000 000 руб.;
+ 100% оплата специфического оборудования или материалов поставщикам, выбранных на основании ГРАНД-ТЕНДЕРОВ, с длительным сроком изготовления, имеющим эксклюзивного поставщика - СТРОГО по распорядительным письмам, входит в размер аванса. (да/нет)</t>
        </is>
      </c>
      <c r="N535" s="229" t="n"/>
      <c r="O535" s="229" t="n"/>
      <c r="P535" s="229" t="n"/>
      <c r="Q535" s="229" t="n"/>
      <c r="R535" s="229" t="n"/>
      <c r="S535" s="229" t="n"/>
      <c r="T535" s="229" t="n"/>
      <c r="U535" s="229" t="n"/>
      <c r="V535" s="229" t="n"/>
      <c r="W535" s="229" t="n"/>
      <c r="X535" s="229" t="n"/>
      <c r="Y535" s="229" t="n"/>
      <c r="Z535" s="229" t="n"/>
      <c r="AA535" s="230" t="n"/>
      <c r="AB535" s="231" t="n"/>
      <c r="AC535" s="229" t="n"/>
      <c r="AD535" s="229" t="n"/>
      <c r="AE535" s="229" t="n"/>
      <c r="AF535" s="229" t="n"/>
      <c r="AG535" s="229" t="n"/>
      <c r="AH535" s="232" t="n"/>
    </row>
    <row r="536" ht="18.75" customHeight="1">
      <c r="J536" s="103" t="n">
        <v>4</v>
      </c>
      <c r="K536" s="103" t="n"/>
      <c r="L536" s="104" t="n"/>
      <c r="M536" s="117" t="inlineStr">
        <is>
          <t>Обеспечение авансирования:</t>
        </is>
      </c>
      <c r="N536" s="229" t="n"/>
      <c r="O536" s="229" t="n"/>
      <c r="P536" s="229" t="n"/>
      <c r="Q536" s="229" t="n"/>
      <c r="R536" s="229" t="n"/>
      <c r="S536" s="229" t="n"/>
      <c r="T536" s="229" t="n"/>
      <c r="U536" s="229" t="n"/>
      <c r="V536" s="229" t="n"/>
      <c r="W536" s="229" t="n"/>
      <c r="X536" s="229" t="n"/>
      <c r="Y536" s="229" t="n"/>
      <c r="Z536" s="229" t="n"/>
      <c r="AA536" s="230" t="n"/>
      <c r="AB536" s="233" t="n"/>
      <c r="AC536" s="229" t="n"/>
      <c r="AD536" s="229" t="n"/>
      <c r="AE536" s="229" t="n"/>
      <c r="AF536" s="229" t="n"/>
      <c r="AG536" s="229" t="n"/>
      <c r="AH536" s="232" t="n"/>
    </row>
    <row r="537" ht="79.90000000000001" customHeight="1">
      <c r="J537" s="100" t="inlineStr">
        <is>
          <t>4.1.</t>
        </is>
      </c>
      <c r="M537" s="111" t="inlineStr">
        <is>
          <t>Личное поручительство физ./юр. лиц, являющихся учредителями/участниками организации/поручительства третьих лиц (иных физ., юр. лиц) по возврату аванса обязательно, если сумма аванса 10 млн руб. и более, строго до 100 млн. руб. (да/нет) 
ЛП должно быть подтверждено ГК ФСК. Срок действия ЛП должен быть больше 3-х месяцев относительно даты окончания действия основного договора.
Требуется обеспечение на оплату оборудования и материалов , в т.ч. по распоряд. письмам, выбранных в рамках ГРАНД-ТЕНДЕРОВ</t>
        </is>
      </c>
      <c r="N537" s="229" t="n"/>
      <c r="O537" s="229" t="n"/>
      <c r="P537" s="229" t="n"/>
      <c r="Q537" s="229" t="n"/>
      <c r="R537" s="229" t="n"/>
      <c r="S537" s="229" t="n"/>
      <c r="T537" s="229" t="n"/>
      <c r="U537" s="229" t="n"/>
      <c r="V537" s="229" t="n"/>
      <c r="W537" s="229" t="n"/>
      <c r="X537" s="229" t="n"/>
      <c r="Y537" s="229" t="n"/>
      <c r="Z537" s="229" t="n"/>
      <c r="AA537" s="230" t="n"/>
      <c r="AB537" s="231" t="n"/>
      <c r="AC537" s="229" t="n"/>
      <c r="AD537" s="229" t="n"/>
      <c r="AE537" s="229" t="n"/>
      <c r="AF537" s="229" t="n"/>
      <c r="AG537" s="229" t="n"/>
      <c r="AH537" s="232" t="n"/>
    </row>
    <row r="538" ht="71.45" customHeight="1">
      <c r="J538" s="2" t="inlineStr">
        <is>
          <t>4.2.</t>
        </is>
      </c>
      <c r="M538" s="111" t="inlineStr">
        <is>
          <t>Предоставление банковской гарантии возврата авансов обязательно, если размер аванса по Договору - 100 млн. руб. и более.
Затраты на БГ должны быть учтены в стоимости КП - срок действия БГ должен быть более 3-х месяцев от даты окончания действия основного договора. (да/нет)
БГ должна быть выдана банком, входящим в ТОП 30 рейтинга Центробанка. 
Требуется обеспечение на оплату оборудования и материалов, в т.ч. по распоряд. письмам, выбранных в рамках ГРАНД-ТЕНДЕРОВ.</t>
        </is>
      </c>
      <c r="N538" s="229" t="n"/>
      <c r="O538" s="229" t="n"/>
      <c r="P538" s="229" t="n"/>
      <c r="Q538" s="229" t="n"/>
      <c r="R538" s="229" t="n"/>
      <c r="S538" s="229" t="n"/>
      <c r="T538" s="229" t="n"/>
      <c r="U538" s="229" t="n"/>
      <c r="V538" s="229" t="n"/>
      <c r="W538" s="229" t="n"/>
      <c r="X538" s="229" t="n"/>
      <c r="Y538" s="229" t="n"/>
      <c r="Z538" s="229" t="n"/>
      <c r="AA538" s="230" t="n"/>
      <c r="AB538" s="231" t="n"/>
      <c r="AC538" s="229" t="n"/>
      <c r="AD538" s="229" t="n"/>
      <c r="AE538" s="229" t="n"/>
      <c r="AF538" s="229" t="n"/>
      <c r="AG538" s="229" t="n"/>
      <c r="AH538" s="232" t="n"/>
    </row>
    <row r="539" ht="31.15" customHeight="1">
      <c r="J539" s="2" t="n">
        <v>5</v>
      </c>
      <c r="M539" s="111" t="inlineStr">
        <is>
          <t>Обязательное подтверждение открытия Контрагентом расчетного счета в Банке кредиторе СЗ  - СБЕР (да/нет)</t>
        </is>
      </c>
      <c r="N539" s="229" t="n"/>
      <c r="O539" s="229" t="n"/>
      <c r="P539" s="229" t="n"/>
      <c r="Q539" s="229" t="n"/>
      <c r="R539" s="229" t="n"/>
      <c r="S539" s="229" t="n"/>
      <c r="T539" s="229" t="n"/>
      <c r="U539" s="229" t="n"/>
      <c r="V539" s="229" t="n"/>
      <c r="W539" s="229" t="n"/>
      <c r="X539" s="229" t="n"/>
      <c r="Y539" s="229" t="n"/>
      <c r="Z539" s="229" t="n"/>
      <c r="AA539" s="230" t="n"/>
      <c r="AB539" s="231" t="n"/>
      <c r="AC539" s="229" t="n"/>
      <c r="AD539" s="229" t="n"/>
      <c r="AE539" s="229" t="n"/>
      <c r="AF539" s="229" t="n"/>
      <c r="AG539" s="229" t="n"/>
      <c r="AH539" s="232" t="n"/>
    </row>
    <row r="540" ht="18.75" customHeight="1">
      <c r="J540" s="2" t="n">
        <v>6</v>
      </c>
      <c r="M540" s="111" t="inlineStr">
        <is>
          <t xml:space="preserve">Зачет аванса: 
1) в первом отчетном периоде в полном 100 % объеме
2) график зачета аванса, оформленный дополнительным соглашением к Договору подряда с указанием % удержания 
(выбрать вариант - заполнить)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540" s="229" t="n"/>
      <c r="O540" s="229" t="n"/>
      <c r="P540" s="229" t="n"/>
      <c r="Q540" s="229" t="n"/>
      <c r="R540" s="229" t="n"/>
      <c r="S540" s="229" t="n"/>
      <c r="T540" s="229" t="n"/>
      <c r="U540" s="229" t="n"/>
      <c r="V540" s="229" t="n"/>
      <c r="W540" s="229" t="n"/>
      <c r="X540" s="229" t="n"/>
      <c r="Y540" s="229" t="n"/>
      <c r="Z540" s="229" t="n"/>
      <c r="AA540" s="230" t="n"/>
      <c r="AB540" s="231" t="n"/>
      <c r="AC540" s="229" t="n"/>
      <c r="AD540" s="229" t="n"/>
      <c r="AE540" s="229" t="n"/>
      <c r="AF540" s="229" t="n"/>
      <c r="AG540" s="229" t="n"/>
      <c r="AH540" s="232" t="n"/>
    </row>
    <row r="541" ht="55.9" customHeight="1">
      <c r="J541" s="2" t="n">
        <v>7</v>
      </c>
      <c r="M541" s="111" t="inlineStr">
        <is>
          <t>Оплата выполненных Подрядчиком работ производится в течение 15 рабочих дней с даты подписания без замечаний Сторонами Акта о приемке выполненных работ по форме КС-2, Справки о стоимости выполненных работ по форме КС-3, за вычетом Гарантийного удержания и ранее выплаченного аванса, а также иных платежей, предусмотренных формой  Договора (да/нет)</t>
        </is>
      </c>
      <c r="N541" s="229" t="n"/>
      <c r="O541" s="229" t="n"/>
      <c r="P541" s="229" t="n"/>
      <c r="Q541" s="229" t="n"/>
      <c r="R541" s="229" t="n"/>
      <c r="S541" s="229" t="n"/>
      <c r="T541" s="229" t="n"/>
      <c r="U541" s="229" t="n"/>
      <c r="V541" s="229" t="n"/>
      <c r="W541" s="229" t="n"/>
      <c r="X541" s="229" t="n"/>
      <c r="Y541" s="229" t="n"/>
      <c r="Z541" s="229" t="n"/>
      <c r="AA541" s="230" t="n"/>
      <c r="AB541" s="231" t="n"/>
      <c r="AC541" s="229" t="n"/>
      <c r="AD541" s="229" t="n"/>
      <c r="AE541" s="229" t="n"/>
      <c r="AF541" s="229" t="n"/>
      <c r="AG541" s="229" t="n"/>
      <c r="AH541" s="232" t="n"/>
    </row>
    <row r="542" ht="40.15" customHeight="1">
      <c r="J542" s="2" t="n">
        <v>8</v>
      </c>
      <c r="M542" s="111" t="inlineStr">
        <is>
          <t>Готовность приступить к работе по гарантийному письму Заказчика о намерениях заключить договор (да/нет, указать, к каким работам готовы приступить по гарантийному письму до заключения договора)</t>
        </is>
      </c>
      <c r="N542" s="229" t="n"/>
      <c r="O542" s="229" t="n"/>
      <c r="P542" s="229" t="n"/>
      <c r="Q542" s="229" t="n"/>
      <c r="R542" s="229" t="n"/>
      <c r="S542" s="229" t="n"/>
      <c r="T542" s="229" t="n"/>
      <c r="U542" s="229" t="n"/>
      <c r="V542" s="229" t="n"/>
      <c r="W542" s="229" t="n"/>
      <c r="X542" s="229" t="n"/>
      <c r="Y542" s="229" t="n"/>
      <c r="Z542" s="229" t="n"/>
      <c r="AA542" s="230" t="n"/>
      <c r="AB542" s="231" t="n"/>
      <c r="AC542" s="229" t="n"/>
      <c r="AD542" s="229" t="n"/>
      <c r="AE542" s="229" t="n"/>
      <c r="AF542" s="229" t="n"/>
      <c r="AG542" s="229" t="n"/>
      <c r="AH542" s="232" t="n"/>
    </row>
    <row r="543" ht="22.9" customHeight="1">
      <c r="J543" s="2" t="n">
        <v>9</v>
      </c>
      <c r="M543" s="111" t="inlineStr">
        <is>
          <t xml:space="preserve">Готовность подписать договор в редакции "ГК ФСК" (да/нет) - при наличии разногласия прикрепить к ТКП проект Протокола разногласия </t>
        </is>
      </c>
      <c r="N543" s="229" t="n"/>
      <c r="O543" s="229" t="n"/>
      <c r="P543" s="229" t="n"/>
      <c r="Q543" s="229" t="n"/>
      <c r="R543" s="229" t="n"/>
      <c r="S543" s="229" t="n"/>
      <c r="T543" s="229" t="n"/>
      <c r="U543" s="229" t="n"/>
      <c r="V543" s="229" t="n"/>
      <c r="W543" s="229" t="n"/>
      <c r="X543" s="229" t="n"/>
      <c r="Y543" s="229" t="n"/>
      <c r="Z543" s="229" t="n"/>
      <c r="AA543" s="230" t="n"/>
      <c r="AB543" s="231" t="n"/>
      <c r="AC543" s="229" t="n"/>
      <c r="AD543" s="229" t="n"/>
      <c r="AE543" s="229" t="n"/>
      <c r="AF543" s="229" t="n"/>
      <c r="AG543" s="229" t="n"/>
      <c r="AH543" s="232" t="n"/>
    </row>
    <row r="544" ht="55.15" customHeight="1">
      <c r="J544" s="2" t="n">
        <v>10</v>
      </c>
      <c r="M544" s="111" t="inlineStr">
        <is>
          <t>В стоимости учтено гарантийное удержание - 2,5 % от стоимости работ/Договора до истечения гарантийного срока или Банковская гарантия выданная на сумму ГУ - 2,5 % от стоимости работ/Договора на срок 60 кал. мес. (да/нет) 
Обеспечение не требуется в случае, если цена Договора не превышает 10 млн. руб.</t>
        </is>
      </c>
      <c r="N544" s="229" t="n"/>
      <c r="O544" s="229" t="n"/>
      <c r="P544" s="229" t="n"/>
      <c r="Q544" s="229" t="n"/>
      <c r="R544" s="229" t="n"/>
      <c r="S544" s="229" t="n"/>
      <c r="T544" s="229" t="n"/>
      <c r="U544" s="229" t="n"/>
      <c r="V544" s="229" t="n"/>
      <c r="W544" s="229" t="n"/>
      <c r="X544" s="229" t="n"/>
      <c r="Y544" s="229" t="n"/>
      <c r="Z544" s="229" t="n"/>
      <c r="AA544" s="230" t="n"/>
      <c r="AB544" s="231" t="n"/>
      <c r="AC544" s="229" t="n"/>
      <c r="AD544" s="229" t="n"/>
      <c r="AE544" s="229" t="n"/>
      <c r="AF544" s="229" t="n"/>
      <c r="AG544" s="229" t="n"/>
      <c r="AH544" s="232" t="n"/>
    </row>
    <row r="545" ht="27" customHeight="1">
      <c r="J545" s="2" t="n">
        <v>11</v>
      </c>
      <c r="M545" s="111" t="inlineStr">
        <is>
          <t>Гарантийный срок  на выполненные работы по договору - 60 (Шестьдесят) месяцев с даты получения Разрешения на ввод объекта в эксплуатацию (да/нет)</t>
        </is>
      </c>
      <c r="N545" s="229" t="n"/>
      <c r="O545" s="229" t="n"/>
      <c r="P545" s="229" t="n"/>
      <c r="Q545" s="229" t="n"/>
      <c r="R545" s="229" t="n"/>
      <c r="S545" s="229" t="n"/>
      <c r="T545" s="229" t="n"/>
      <c r="U545" s="229" t="n"/>
      <c r="V545" s="229" t="n"/>
      <c r="W545" s="229" t="n"/>
      <c r="X545" s="229" t="n"/>
      <c r="Y545" s="229" t="n"/>
      <c r="Z545" s="229" t="n"/>
      <c r="AA545" s="230" t="n"/>
      <c r="AB545" s="231" t="n"/>
      <c r="AC545" s="229" t="n"/>
      <c r="AD545" s="229" t="n"/>
      <c r="AE545" s="229" t="n"/>
      <c r="AF545" s="229" t="n"/>
      <c r="AG545" s="229" t="n"/>
      <c r="AH545" s="232" t="n"/>
    </row>
    <row r="546" ht="30" customHeight="1">
      <c r="J546" s="2" t="n">
        <v>12</v>
      </c>
      <c r="M546" s="111" t="inlineStr">
        <is>
          <t>Гарантийный срок на материалы и оборудование - согласно паспорта завода-производителя (да/нет)</t>
        </is>
      </c>
      <c r="N546" s="229" t="n"/>
      <c r="O546" s="229" t="n"/>
      <c r="P546" s="229" t="n"/>
      <c r="Q546" s="229" t="n"/>
      <c r="R546" s="229" t="n"/>
      <c r="S546" s="229" t="n"/>
      <c r="T546" s="229" t="n"/>
      <c r="U546" s="229" t="n"/>
      <c r="V546" s="229" t="n"/>
      <c r="W546" s="229" t="n"/>
      <c r="X546" s="229" t="n"/>
      <c r="Y546" s="229" t="n"/>
      <c r="Z546" s="229" t="n"/>
      <c r="AA546" s="230" t="n"/>
      <c r="AB546" s="231" t="n"/>
      <c r="AC546" s="229" t="n"/>
      <c r="AD546" s="229" t="n"/>
      <c r="AE546" s="229" t="n"/>
      <c r="AF546" s="229" t="n"/>
      <c r="AG546" s="229" t="n"/>
      <c r="AH546" s="232" t="n"/>
    </row>
    <row r="547" ht="36" customHeight="1">
      <c r="J547" s="2" t="n">
        <v>13</v>
      </c>
      <c r="M547" s="111" t="inlineStr">
        <is>
          <t>В стоимости учтены услуги Застройщика по предоставлению погрузочно-разгрузочных механизмов, вывозу мусора, аренды туалетных кабин, мойки колес и т.д. из перечня работ (Приложение № 21 к Договору)  (да/нет)</t>
        </is>
      </c>
      <c r="N547" s="229" t="n"/>
      <c r="O547" s="229" t="n"/>
      <c r="P547" s="229" t="n"/>
      <c r="Q547" s="229" t="n"/>
      <c r="R547" s="229" t="n"/>
      <c r="S547" s="229" t="n"/>
      <c r="T547" s="229" t="n"/>
      <c r="U547" s="229" t="n"/>
      <c r="V547" s="229" t="n"/>
      <c r="W547" s="229" t="n"/>
      <c r="X547" s="229" t="n"/>
      <c r="Y547" s="229" t="n"/>
      <c r="Z547" s="229" t="n"/>
      <c r="AA547" s="230" t="n"/>
      <c r="AB547" s="234" t="inlineStr">
        <is>
          <t>не применимо</t>
        </is>
      </c>
      <c r="AC547" s="229" t="n"/>
      <c r="AD547" s="229" t="n"/>
      <c r="AE547" s="229" t="n"/>
      <c r="AF547" s="229" t="n"/>
      <c r="AG547" s="229" t="n"/>
      <c r="AH547" s="232" t="n"/>
    </row>
    <row r="548" ht="24" customHeight="1">
      <c r="J548" s="2" t="n">
        <v>14</v>
      </c>
      <c r="M548" s="111" t="inlineStr">
        <is>
          <t>В стоимости учтены расходы на услуги по уборке, складированию и вывозу строительных отходов  (да/нет)</t>
        </is>
      </c>
      <c r="N548" s="229" t="n"/>
      <c r="O548" s="229" t="n"/>
      <c r="P548" s="229" t="n"/>
      <c r="Q548" s="229" t="n"/>
      <c r="R548" s="229" t="n"/>
      <c r="S548" s="229" t="n"/>
      <c r="T548" s="229" t="n"/>
      <c r="U548" s="229" t="n"/>
      <c r="V548" s="229" t="n"/>
      <c r="W548" s="229" t="n"/>
      <c r="X548" s="229" t="n"/>
      <c r="Y548" s="229" t="n"/>
      <c r="Z548" s="229" t="n"/>
      <c r="AA548" s="230" t="n"/>
      <c r="AB548" s="231" t="n"/>
      <c r="AC548" s="229" t="n"/>
      <c r="AD548" s="229" t="n"/>
      <c r="AE548" s="229" t="n"/>
      <c r="AF548" s="229" t="n"/>
      <c r="AG548" s="229" t="n"/>
      <c r="AH548" s="232" t="n"/>
    </row>
    <row r="549" ht="26.45" customHeight="1">
      <c r="J549" s="2" t="n">
        <v>15</v>
      </c>
      <c r="M549" s="111" t="inlineStr">
        <is>
          <t>Виды работ, планируемые к выполнению субподрядными организациями (да/нет) - указать при привлечении наименование организации, ИНН, вид работ/услуг</t>
        </is>
      </c>
      <c r="N549" s="229" t="n"/>
      <c r="O549" s="229" t="n"/>
      <c r="P549" s="229" t="n"/>
      <c r="Q549" s="229" t="n"/>
      <c r="R549" s="229" t="n"/>
      <c r="S549" s="229" t="n"/>
      <c r="T549" s="229" t="n"/>
      <c r="U549" s="229" t="n"/>
      <c r="V549" s="229" t="n"/>
      <c r="W549" s="229" t="n"/>
      <c r="X549" s="229" t="n"/>
      <c r="Y549" s="229" t="n"/>
      <c r="Z549" s="229" t="n"/>
      <c r="AA549" s="230" t="n"/>
      <c r="AB549" s="231" t="n"/>
      <c r="AC549" s="229" t="n"/>
      <c r="AD549" s="229" t="n"/>
      <c r="AE549" s="229" t="n"/>
      <c r="AF549" s="229" t="n"/>
      <c r="AG549" s="229" t="n"/>
      <c r="AH549" s="232" t="n"/>
    </row>
    <row r="550" ht="30.6" customHeight="1">
      <c r="J550" s="2" t="n">
        <v>16</v>
      </c>
      <c r="M550" s="111" t="inlineStr">
        <is>
          <t>Наличие СРО/лицензии для выполнения работ по тендеру (да/нет) Указать № _, дату выдачи</t>
        </is>
      </c>
      <c r="N550" s="229" t="n"/>
      <c r="O550" s="229" t="n"/>
      <c r="P550" s="229" t="n"/>
      <c r="Q550" s="229" t="n"/>
      <c r="R550" s="229" t="n"/>
      <c r="S550" s="229" t="n"/>
      <c r="T550" s="229" t="n"/>
      <c r="U550" s="229" t="n"/>
      <c r="V550" s="229" t="n"/>
      <c r="W550" s="229" t="n"/>
      <c r="X550" s="229" t="n"/>
      <c r="Y550" s="229" t="n"/>
      <c r="Z550" s="229" t="n"/>
      <c r="AA550" s="230" t="n"/>
      <c r="AB550" s="231" t="n"/>
      <c r="AC550" s="229" t="n"/>
      <c r="AD550" s="229" t="n"/>
      <c r="AE550" s="229" t="n"/>
      <c r="AF550" s="229" t="n"/>
      <c r="AG550" s="229" t="n"/>
      <c r="AH550" s="232" t="n"/>
    </row>
    <row r="551" ht="29.45" customHeight="1">
      <c r="J551" s="2" t="n">
        <v>17</v>
      </c>
      <c r="M551" s="111" t="inlineStr">
        <is>
          <t>Опыт работы с ГК ФСК (в т.ч. АО МСУ-1, 1 ДСК)  (да/нет) (при наличии текущих проектов - указать наименование и % реализации)</t>
        </is>
      </c>
      <c r="N551" s="229" t="n"/>
      <c r="O551" s="229" t="n"/>
      <c r="P551" s="229" t="n"/>
      <c r="Q551" s="229" t="n"/>
      <c r="R551" s="229" t="n"/>
      <c r="S551" s="229" t="n"/>
      <c r="T551" s="229" t="n"/>
      <c r="U551" s="229" t="n"/>
      <c r="V551" s="229" t="n"/>
      <c r="W551" s="229" t="n"/>
      <c r="X551" s="229" t="n"/>
      <c r="Y551" s="229" t="n"/>
      <c r="Z551" s="229" t="n"/>
      <c r="AA551" s="230" t="n"/>
      <c r="AB551" s="231" t="n"/>
      <c r="AC551" s="229" t="n"/>
      <c r="AD551" s="229" t="n"/>
      <c r="AE551" s="229" t="n"/>
      <c r="AF551" s="229" t="n"/>
      <c r="AG551" s="229" t="n"/>
      <c r="AH551" s="232" t="n"/>
    </row>
    <row r="552" ht="23.45" customHeight="1">
      <c r="J552" s="2" t="n">
        <v>18</v>
      </c>
      <c r="M552" s="111" t="inlineStr">
        <is>
          <t>Опыт реализации аналогичных видов работ за последние 2-3 года, РЕЛЕВАНТНЫЙ ОПЫТ ПО СПЕЦИАЛИЗАЦИИ ТЕНДЕРА (указать не более 3 объектов и их заказчиков)</t>
        </is>
      </c>
      <c r="N552" s="229" t="n"/>
      <c r="O552" s="229" t="n"/>
      <c r="P552" s="229" t="n"/>
      <c r="Q552" s="229" t="n"/>
      <c r="R552" s="229" t="n"/>
      <c r="S552" s="229" t="n"/>
      <c r="T552" s="229" t="n"/>
      <c r="U552" s="229" t="n"/>
      <c r="V552" s="229" t="n"/>
      <c r="W552" s="229" t="n"/>
      <c r="X552" s="229" t="n"/>
      <c r="Y552" s="229" t="n"/>
      <c r="Z552" s="229" t="n"/>
      <c r="AA552" s="230" t="n"/>
      <c r="AB552" s="231" t="n"/>
      <c r="AC552" s="229" t="n"/>
      <c r="AD552" s="229" t="n"/>
      <c r="AE552" s="229" t="n"/>
      <c r="AF552" s="229" t="n"/>
      <c r="AG552" s="229" t="n"/>
      <c r="AH552" s="232" t="n"/>
    </row>
    <row r="553" ht="25.9" customHeight="1">
      <c r="J553" s="2" t="n">
        <v>19</v>
      </c>
      <c r="M553" s="111" t="inlineStr">
        <is>
          <t>Численность работающих всего в компании/численность, планируемая для выполнения предмета тендера (ИТР/рабочих)</t>
        </is>
      </c>
      <c r="N553" s="229" t="n"/>
      <c r="O553" s="229" t="n"/>
      <c r="P553" s="229" t="n"/>
      <c r="Q553" s="229" t="n"/>
      <c r="R553" s="229" t="n"/>
      <c r="S553" s="229" t="n"/>
      <c r="T553" s="229" t="n"/>
      <c r="U553" s="229" t="n"/>
      <c r="V553" s="229" t="n"/>
      <c r="W553" s="229" t="n"/>
      <c r="X553" s="229" t="n"/>
      <c r="Y553" s="229" t="n"/>
      <c r="Z553" s="229" t="n"/>
      <c r="AA553" s="230" t="n"/>
      <c r="AB553" s="231" t="n"/>
      <c r="AC553" s="229" t="n"/>
      <c r="AD553" s="229" t="n"/>
      <c r="AE553" s="229" t="n"/>
      <c r="AF553" s="229" t="n"/>
      <c r="AG553" s="229" t="n"/>
      <c r="AH553" s="232" t="n"/>
    </row>
    <row r="554" ht="26.45" customHeight="1">
      <c r="J554" s="2" t="n">
        <v>20</v>
      </c>
      <c r="M554" s="111" t="inlineStr">
        <is>
          <t>Дата регистрации компании (Указать мес/год)</t>
        </is>
      </c>
      <c r="N554" s="229" t="n"/>
      <c r="O554" s="229" t="n"/>
      <c r="P554" s="229" t="n"/>
      <c r="Q554" s="229" t="n"/>
      <c r="R554" s="229" t="n"/>
      <c r="S554" s="229" t="n"/>
      <c r="T554" s="229" t="n"/>
      <c r="U554" s="229" t="n"/>
      <c r="V554" s="229" t="n"/>
      <c r="W554" s="229" t="n"/>
      <c r="X554" s="229" t="n"/>
      <c r="Y554" s="229" t="n"/>
      <c r="Z554" s="229" t="n"/>
      <c r="AA554" s="230" t="n"/>
      <c r="AB554" s="231" t="n"/>
      <c r="AC554" s="229" t="n"/>
      <c r="AD554" s="229" t="n"/>
      <c r="AE554" s="229" t="n"/>
      <c r="AF554" s="229" t="n"/>
      <c r="AG554" s="229" t="n"/>
      <c r="AH554" s="232" t="n"/>
    </row>
    <row r="555" ht="22.15" customHeight="1">
      <c r="J555" s="2" t="n">
        <v>21</v>
      </c>
      <c r="M555" s="111" t="inlineStr">
        <is>
          <t xml:space="preserve">Выручка компании за последние 3 года (отдельно по каждому году), тыс. руб. </t>
        </is>
      </c>
      <c r="N555" s="229" t="n"/>
      <c r="O555" s="229" t="n"/>
      <c r="P555" s="229" t="n"/>
      <c r="Q555" s="229" t="n"/>
      <c r="R555" s="229" t="n"/>
      <c r="S555" s="229" t="n"/>
      <c r="T555" s="229" t="n"/>
      <c r="U555" s="229" t="n"/>
      <c r="V555" s="229" t="n"/>
      <c r="W555" s="229" t="n"/>
      <c r="X555" s="229" t="n"/>
      <c r="Y555" s="229" t="n"/>
      <c r="Z555" s="229" t="n"/>
      <c r="AA555" s="230" t="n"/>
      <c r="AB555" s="231" t="n"/>
      <c r="AC555" s="229" t="n"/>
      <c r="AD555" s="229" t="n"/>
      <c r="AE555" s="229" t="n"/>
      <c r="AF555" s="229" t="n"/>
      <c r="AG555" s="229" t="n"/>
      <c r="AH555" s="232" t="n"/>
    </row>
    <row r="556" ht="27.6" customHeight="1">
      <c r="J556" s="2" t="n">
        <v>22</v>
      </c>
      <c r="M556" s="111" t="inlineStr">
        <is>
          <t>Согласие работы в ЭДО в ГК ФСК для подготовки исполнительной документации (да/нет)</t>
        </is>
      </c>
      <c r="N556" s="229" t="n"/>
      <c r="O556" s="229" t="n"/>
      <c r="P556" s="229" t="n"/>
      <c r="Q556" s="229" t="n"/>
      <c r="R556" s="229" t="n"/>
      <c r="S556" s="229" t="n"/>
      <c r="T556" s="229" t="n"/>
      <c r="U556" s="229" t="n"/>
      <c r="V556" s="229" t="n"/>
      <c r="W556" s="229" t="n"/>
      <c r="X556" s="229" t="n"/>
      <c r="Y556" s="229" t="n"/>
      <c r="Z556" s="229" t="n"/>
      <c r="AA556" s="230" t="n"/>
      <c r="AB556" s="231" t="n"/>
      <c r="AC556" s="229" t="n"/>
      <c r="AD556" s="229" t="n"/>
      <c r="AE556" s="229" t="n"/>
      <c r="AF556" s="229" t="n"/>
      <c r="AG556" s="229" t="n"/>
      <c r="AH556" s="232" t="n"/>
    </row>
    <row r="557" ht="29.45" customHeight="1">
      <c r="J557" s="2" t="n">
        <v>23</v>
      </c>
      <c r="M557" s="111" t="inlineStr">
        <is>
          <t>Согласие работы в ЛКП ГК ФСК (закрытие КС) (да/нет). В тендерной документации прилагается Презентация_ЛКП</t>
        </is>
      </c>
      <c r="N557" s="229" t="n"/>
      <c r="O557" s="229" t="n"/>
      <c r="P557" s="229" t="n"/>
      <c r="Q557" s="229" t="n"/>
      <c r="R557" s="229" t="n"/>
      <c r="S557" s="229" t="n"/>
      <c r="T557" s="229" t="n"/>
      <c r="U557" s="229" t="n"/>
      <c r="V557" s="229" t="n"/>
      <c r="W557" s="229" t="n"/>
      <c r="X557" s="229" t="n"/>
      <c r="Y557" s="229" t="n"/>
      <c r="Z557" s="229" t="n"/>
      <c r="AA557" s="230" t="n"/>
      <c r="AB557" s="231" t="n"/>
      <c r="AC557" s="229" t="n"/>
      <c r="AD557" s="229" t="n"/>
      <c r="AE557" s="229" t="n"/>
      <c r="AF557" s="229" t="n"/>
      <c r="AG557" s="229" t="n"/>
      <c r="AH557" s="232" t="n"/>
    </row>
    <row r="558" ht="25.9" customHeight="1">
      <c r="J558" s="2" t="n">
        <v>24</v>
      </c>
      <c r="M558" s="111" t="inlineStr">
        <is>
          <t>Готовность размещения заявок на поставку номинированных материалов в системе FSK Element  (да/нет)</t>
        </is>
      </c>
      <c r="N558" s="229" t="n"/>
      <c r="O558" s="229" t="n"/>
      <c r="P558" s="229" t="n"/>
      <c r="Q558" s="229" t="n"/>
      <c r="R558" s="229" t="n"/>
      <c r="S558" s="229" t="n"/>
      <c r="T558" s="229" t="n"/>
      <c r="U558" s="229" t="n"/>
      <c r="V558" s="229" t="n"/>
      <c r="W558" s="229" t="n"/>
      <c r="X558" s="229" t="n"/>
      <c r="Y558" s="229" t="n"/>
      <c r="Z558" s="229" t="n"/>
      <c r="AA558" s="230" t="n"/>
      <c r="AB558" s="231" t="n"/>
      <c r="AC558" s="229" t="n"/>
      <c r="AD558" s="229" t="n"/>
      <c r="AE558" s="229" t="n"/>
      <c r="AF558" s="229" t="n"/>
      <c r="AG558" s="229" t="n"/>
      <c r="AH558" s="232" t="n"/>
    </row>
    <row r="559" ht="26.45" customHeight="1">
      <c r="J559" s="2" t="n">
        <v>25</v>
      </c>
      <c r="M559" s="111" t="inlineStr">
        <is>
          <t>Готовность к делению объемов работ и сохранению при этом единичных расценок в ТКП (да/нет)</t>
        </is>
      </c>
      <c r="N559" s="229" t="n"/>
      <c r="O559" s="229" t="n"/>
      <c r="P559" s="229" t="n"/>
      <c r="Q559" s="229" t="n"/>
      <c r="R559" s="229" t="n"/>
      <c r="S559" s="229" t="n"/>
      <c r="T559" s="229" t="n"/>
      <c r="U559" s="229" t="n"/>
      <c r="V559" s="229" t="n"/>
      <c r="W559" s="229" t="n"/>
      <c r="X559" s="229" t="n"/>
      <c r="Y559" s="229" t="n"/>
      <c r="Z559" s="229" t="n"/>
      <c r="AA559" s="230" t="n"/>
      <c r="AB559" s="231" t="n"/>
      <c r="AC559" s="229" t="n"/>
      <c r="AD559" s="229" t="n"/>
      <c r="AE559" s="229" t="n"/>
      <c r="AF559" s="229" t="n"/>
      <c r="AG559" s="229" t="n"/>
      <c r="AH559" s="232" t="n"/>
    </row>
    <row r="560" ht="36" customHeight="1">
      <c r="J560" s="2" t="n">
        <v>26</v>
      </c>
      <c r="M560" s="111" t="inlineStr">
        <is>
          <t>Готовность предоставить заказчику договора ГПХ /субподряда на сотрудников/рабочих в размере 30% от требуемой численности и не менее количества, указаного в техническом задании, для возможности реализации договора в обусловленные сроки. (да/нет)</t>
        </is>
      </c>
      <c r="N560" s="229" t="n"/>
      <c r="O560" s="229" t="n"/>
      <c r="P560" s="229" t="n"/>
      <c r="Q560" s="229" t="n"/>
      <c r="R560" s="229" t="n"/>
      <c r="S560" s="229" t="n"/>
      <c r="T560" s="229" t="n"/>
      <c r="U560" s="229" t="n"/>
      <c r="V560" s="229" t="n"/>
      <c r="W560" s="229" t="n"/>
      <c r="X560" s="229" t="n"/>
      <c r="Y560" s="229" t="n"/>
      <c r="Z560" s="229" t="n"/>
      <c r="AA560" s="230" t="n"/>
      <c r="AB560" s="231" t="n"/>
      <c r="AC560" s="229" t="n"/>
      <c r="AD560" s="229" t="n"/>
      <c r="AE560" s="229" t="n"/>
      <c r="AF560" s="229" t="n"/>
      <c r="AG560" s="229" t="n"/>
      <c r="AH560" s="232" t="n"/>
    </row>
    <row r="561" ht="30.6" customHeight="1">
      <c r="J561" s="2" t="n">
        <v>27</v>
      </c>
      <c r="M561" s="111" t="inlineStr">
        <is>
          <t>Дата посещения строительной площадки/контактное лицо со стороны ГК ФСК (с кем проводился осмотр)</t>
        </is>
      </c>
      <c r="N561" s="229" t="n"/>
      <c r="O561" s="229" t="n"/>
      <c r="P561" s="229" t="n"/>
      <c r="Q561" s="229" t="n"/>
      <c r="R561" s="229" t="n"/>
      <c r="S561" s="229" t="n"/>
      <c r="T561" s="229" t="n"/>
      <c r="U561" s="229" t="n"/>
      <c r="V561" s="229" t="n"/>
      <c r="W561" s="229" t="n"/>
      <c r="X561" s="229" t="n"/>
      <c r="Y561" s="229" t="n"/>
      <c r="Z561" s="229" t="n"/>
      <c r="AA561" s="230" t="n"/>
      <c r="AB561" s="231" t="n"/>
      <c r="AC561" s="229" t="n"/>
      <c r="AD561" s="229" t="n"/>
      <c r="AE561" s="229" t="n"/>
      <c r="AF561" s="229" t="n"/>
      <c r="AG561" s="229" t="n"/>
      <c r="AH561" s="232" t="n"/>
    </row>
    <row r="562" ht="24" customHeight="1">
      <c r="J562" s="2" t="n">
        <v>28</v>
      </c>
      <c r="M562" s="111" t="inlineStr">
        <is>
          <t>Генеральный директор предприятия (ФИО - полностью, контакты: тел., e-mail)</t>
        </is>
      </c>
      <c r="N562" s="229" t="n"/>
      <c r="O562" s="229" t="n"/>
      <c r="P562" s="229" t="n"/>
      <c r="Q562" s="229" t="n"/>
      <c r="R562" s="229" t="n"/>
      <c r="S562" s="229" t="n"/>
      <c r="T562" s="229" t="n"/>
      <c r="U562" s="229" t="n"/>
      <c r="V562" s="229" t="n"/>
      <c r="W562" s="229" t="n"/>
      <c r="X562" s="229" t="n"/>
      <c r="Y562" s="229" t="n"/>
      <c r="Z562" s="229" t="n"/>
      <c r="AA562" s="230" t="n"/>
      <c r="AB562" s="231" t="n"/>
      <c r="AC562" s="229" t="n"/>
      <c r="AD562" s="229" t="n"/>
      <c r="AE562" s="229" t="n"/>
      <c r="AF562" s="229" t="n"/>
      <c r="AG562" s="229" t="n"/>
      <c r="AH562" s="232" t="n"/>
    </row>
    <row r="563" ht="24" customHeight="1">
      <c r="J563" s="2" t="n">
        <v>29</v>
      </c>
      <c r="M563" s="111" t="inlineStr">
        <is>
          <t>Контактное лицо по вопросам участия в тендере (должность, ФИО - полностью, контакты: тел.)</t>
        </is>
      </c>
      <c r="N563" s="229" t="n"/>
      <c r="O563" s="229" t="n"/>
      <c r="P563" s="229" t="n"/>
      <c r="Q563" s="229" t="n"/>
      <c r="R563" s="229" t="n"/>
      <c r="S563" s="229" t="n"/>
      <c r="T563" s="229" t="n"/>
      <c r="U563" s="229" t="n"/>
      <c r="V563" s="229" t="n"/>
      <c r="W563" s="229" t="n"/>
      <c r="X563" s="229" t="n"/>
      <c r="Y563" s="229" t="n"/>
      <c r="Z563" s="229" t="n"/>
      <c r="AA563" s="230" t="n"/>
      <c r="AB563" s="231" t="n"/>
      <c r="AC563" s="229" t="n"/>
      <c r="AD563" s="229" t="n"/>
      <c r="AE563" s="229" t="n"/>
      <c r="AF563" s="229" t="n"/>
      <c r="AG563" s="229" t="n"/>
      <c r="AH563" s="232" t="n"/>
    </row>
    <row r="564" ht="21.6" customHeight="1">
      <c r="J564" s="2" t="n">
        <v>30</v>
      </c>
      <c r="M564" s="111" t="inlineStr">
        <is>
          <t>Адрес электронной почты (e-mail) контактного лица по вопросам участия в данном тендере.</t>
        </is>
      </c>
      <c r="N564" s="229" t="n"/>
      <c r="O564" s="229" t="n"/>
      <c r="P564" s="229" t="n"/>
      <c r="Q564" s="229" t="n"/>
      <c r="R564" s="229" t="n"/>
      <c r="S564" s="229" t="n"/>
      <c r="T564" s="229" t="n"/>
      <c r="U564" s="229" t="n"/>
      <c r="V564" s="229" t="n"/>
      <c r="W564" s="229" t="n"/>
      <c r="X564" s="229" t="n"/>
      <c r="Y564" s="229" t="n"/>
      <c r="Z564" s="229" t="n"/>
      <c r="AA564" s="230" t="n"/>
      <c r="AB564" s="231" t="n"/>
      <c r="AC564" s="229" t="n"/>
      <c r="AD564" s="229" t="n"/>
      <c r="AE564" s="229" t="n"/>
      <c r="AF564" s="229" t="n"/>
      <c r="AG564" s="229" t="n"/>
      <c r="AH564" s="232" t="n"/>
    </row>
    <row r="565" ht="30" customHeight="1">
      <c r="J565" s="2" t="n">
        <v>31</v>
      </c>
      <c r="M565" s="111" t="inlineStr">
        <is>
          <t>Примечание к ТКП претендента</t>
        </is>
      </c>
      <c r="N565" s="229" t="n"/>
      <c r="O565" s="229" t="n"/>
      <c r="P565" s="229" t="n"/>
      <c r="Q565" s="229" t="n"/>
      <c r="R565" s="229" t="n"/>
      <c r="S565" s="229" t="n"/>
      <c r="T565" s="229" t="n"/>
      <c r="U565" s="229" t="n"/>
      <c r="V565" s="229" t="n"/>
      <c r="W565" s="229" t="n"/>
      <c r="X565" s="229" t="n"/>
      <c r="Y565" s="229" t="n"/>
      <c r="Z565" s="229" t="n"/>
      <c r="AA565" s="230" t="n"/>
      <c r="AB565" s="231" t="n"/>
      <c r="AC565" s="229" t="n"/>
      <c r="AD565" s="229" t="n"/>
      <c r="AE565" s="229" t="n"/>
      <c r="AF565" s="229" t="n"/>
      <c r="AG565" s="229" t="n"/>
      <c r="AH565" s="232" t="n"/>
    </row>
    <row r="567">
      <c r="M567" s="67" t="inlineStr">
        <is>
          <t>ПРИМЕЧАНИЕ:</t>
        </is>
      </c>
    </row>
    <row r="568">
      <c r="M568" s="68" t="inlineStr">
        <is>
          <t>*- все материалы, необходимые для выполнения комплекса работ, кроме номинированных позиций</t>
        </is>
      </c>
    </row>
    <row r="569" ht="30" customHeight="1">
      <c r="L569" s="9" t="inlineStr">
        <is>
          <t> </t>
        </is>
      </c>
      <c r="M569" s="69" t="inlineStr">
        <is>
          <t>1. Расчет твердой договорной цены  выполнен в соответствии с приложенными Техническим заданием и Проектной документацией.</t>
        </is>
      </c>
    </row>
    <row r="570" ht="30" customHeight="1">
      <c r="K570" s="2" t="inlineStr">
        <is>
          <t> </t>
        </is>
      </c>
      <c r="M570" s="69" t="inlineStr">
        <is>
          <t>2. Объем работ может быть скорректирован после согласования проектной документации со службой заказчика, надзорными и эксплуатирующими организациями.</t>
        </is>
      </c>
    </row>
    <row r="571">
      <c r="M571" s="69" t="inlineStr">
        <is>
          <t>3. Все объемы работ даны без учета коэффициента расхода материала.</t>
        </is>
      </c>
    </row>
    <row r="572" ht="60" customHeight="1">
      <c r="M572" s="69" t="inlineStr">
        <is>
          <t>4. Расценками учтены все сопутствующие материалы (крепежные элементы, расходники и т.п.) и работы, не упомянутые в форме ТКП, но необходимых для выполнения комплекса работ в полном объеме, в соответствии с РД (в также СП, СНиП, ТУ и др.нормативными документами) по данному виду работ.</t>
        </is>
      </c>
    </row>
    <row r="573">
      <c r="M573" s="69" t="inlineStr">
        <is>
          <t>5. Расценками учтена заделка техотверстий, в т.ч. кабельных проходок.</t>
        </is>
      </c>
    </row>
  </sheetData>
  <autoFilter ref="AB7:AC530"/>
  <mergeCells count="93">
    <mergeCell ref="M561:AA561"/>
    <mergeCell ref="M535:AA535"/>
    <mergeCell ref="AB557:AH557"/>
    <mergeCell ref="M551:AA551"/>
    <mergeCell ref="AB544:AH544"/>
    <mergeCell ref="AB534:AH534"/>
    <mergeCell ref="I2:AH2"/>
    <mergeCell ref="M562:AA562"/>
    <mergeCell ref="M537:AA537"/>
    <mergeCell ref="AB558:AH558"/>
    <mergeCell ref="AB536:AH536"/>
    <mergeCell ref="P5:P7"/>
    <mergeCell ref="AH6:AH7"/>
    <mergeCell ref="J5:J7"/>
    <mergeCell ref="AB560:AH560"/>
    <mergeCell ref="M5:M7"/>
    <mergeCell ref="M554:AA554"/>
    <mergeCell ref="M563:AA563"/>
    <mergeCell ref="M541:AA541"/>
    <mergeCell ref="K5:K7"/>
    <mergeCell ref="AB6:AD6"/>
    <mergeCell ref="AB546:AH546"/>
    <mergeCell ref="M565:AA565"/>
    <mergeCell ref="I1:AH1"/>
    <mergeCell ref="M540:AA540"/>
    <mergeCell ref="AB561:AH561"/>
    <mergeCell ref="M536:AA536"/>
    <mergeCell ref="M539:AA539"/>
    <mergeCell ref="AB538:AH538"/>
    <mergeCell ref="AB547:AH547"/>
    <mergeCell ref="AB548:AH548"/>
    <mergeCell ref="S5:S7"/>
    <mergeCell ref="U5:U7"/>
    <mergeCell ref="R5:R7"/>
    <mergeCell ref="M553:AA553"/>
    <mergeCell ref="AE6:AG6"/>
    <mergeCell ref="AB549:AH549"/>
    <mergeCell ref="AB564:AH564"/>
    <mergeCell ref="I3:AH3"/>
    <mergeCell ref="V5:V7"/>
    <mergeCell ref="AB553:AH553"/>
    <mergeCell ref="AB550:AH550"/>
    <mergeCell ref="AB537:AH537"/>
    <mergeCell ref="AB556:AH556"/>
    <mergeCell ref="AB552:AH552"/>
    <mergeCell ref="X5:X7"/>
    <mergeCell ref="Z5:Z7"/>
    <mergeCell ref="M555:AA555"/>
    <mergeCell ref="M564:AA564"/>
    <mergeCell ref="AB539:AH539"/>
    <mergeCell ref="M557:AA557"/>
    <mergeCell ref="AB535:AH535"/>
    <mergeCell ref="M556:AA556"/>
    <mergeCell ref="M534:AA534"/>
    <mergeCell ref="AB540:AH540"/>
    <mergeCell ref="AB555:AH555"/>
    <mergeCell ref="M543:AA543"/>
    <mergeCell ref="M558:AA558"/>
    <mergeCell ref="M545:AA545"/>
    <mergeCell ref="AB554:AH554"/>
    <mergeCell ref="M542:AA542"/>
    <mergeCell ref="AB563:AH563"/>
    <mergeCell ref="AB541:AH541"/>
    <mergeCell ref="M560:AA560"/>
    <mergeCell ref="M544:AA544"/>
    <mergeCell ref="AB565:AH565"/>
    <mergeCell ref="N5:N7"/>
    <mergeCell ref="M546:AA546"/>
    <mergeCell ref="AB542:AH542"/>
    <mergeCell ref="L5:L7"/>
    <mergeCell ref="M538:AA538"/>
    <mergeCell ref="M532:AA532"/>
    <mergeCell ref="M547:AA547"/>
    <mergeCell ref="M548:AA548"/>
    <mergeCell ref="AB543:AH543"/>
    <mergeCell ref="AB559:AH559"/>
    <mergeCell ref="AB545:AH545"/>
    <mergeCell ref="M533:AA533"/>
    <mergeCell ref="T5:T7"/>
    <mergeCell ref="AB5:AH5"/>
    <mergeCell ref="M549:AA549"/>
    <mergeCell ref="AB551:AH551"/>
    <mergeCell ref="W5:W7"/>
    <mergeCell ref="Y5:Y7"/>
    <mergeCell ref="O5:O7"/>
    <mergeCell ref="AB533:AH533"/>
    <mergeCell ref="Q5:Q7"/>
    <mergeCell ref="AB562:AH562"/>
    <mergeCell ref="M550:AA550"/>
    <mergeCell ref="M559:AA559"/>
    <mergeCell ref="AA5:AA7"/>
    <mergeCell ref="J4:AH4"/>
    <mergeCell ref="M552:AA552"/>
  </mergeCells>
  <conditionalFormatting sqref="B8:I8">
    <cfRule type="expression" priority="3333" dxfId="3" stopIfTrue="1">
      <formula>$K8="Л4"</formula>
    </cfRule>
    <cfRule type="expression" priority="3330" dxfId="0" stopIfTrue="1">
      <formula>$K8="Л1"</formula>
    </cfRule>
    <cfRule type="expression" priority="3334" dxfId="4" stopIfTrue="1">
      <formula>$K8="Л3"</formula>
    </cfRule>
    <cfRule type="expression" priority="3326" dxfId="1" stopIfTrue="1">
      <formula>$K8="Л5"</formula>
    </cfRule>
    <cfRule type="expression" priority="3325" dxfId="879" stopIfTrue="1">
      <formula>#REF!="нп"</formula>
    </cfRule>
    <cfRule type="expression" priority="3327" dxfId="3" stopIfTrue="1">
      <formula>$K8="Л4"</formula>
    </cfRule>
    <cfRule type="expression" priority="3329" dxfId="2" stopIfTrue="1">
      <formula>$K8="Л2"</formula>
    </cfRule>
    <cfRule type="expression" priority="3332" dxfId="1" stopIfTrue="1">
      <formula>$K8="Л5"</formula>
    </cfRule>
    <cfRule type="expression" priority="3331" dxfId="879" stopIfTrue="1">
      <formula>#REF!="нп"</formula>
    </cfRule>
    <cfRule type="expression" priority="3328" dxfId="4" stopIfTrue="1">
      <formula>$K8="Л3"</formula>
    </cfRule>
    <cfRule type="expression" priority="3336" dxfId="0" stopIfTrue="1">
      <formula>$K8="Л1"</formula>
    </cfRule>
  </conditionalFormatting>
  <conditionalFormatting sqref="B8:I17">
    <cfRule type="expression" priority="3335" dxfId="2" stopIfTrue="1">
      <formula>$K8="Л2"</formula>
    </cfRule>
  </conditionalFormatting>
  <conditionalFormatting sqref="B9:I17 B23:I24 B26:I26 B35:I36 B38:I45 B47:I146 B158:I168 B181:I191 B204:I215 B218:I232 B235:I235 B237:I243 B251:I255 B264:I273 B275:I275 B278:I282 B284:I285 B288:I288 B292:I292 B296:I299 B303:I306 B308:I308 B310:I310 B316:I317 B408:I409 B411:I415 B417:I418 B422:I422 B425:I425 B427:I427 B432:I432 B436:I436 B440:I440 B442:I443 B445:I448 B455:I457 B459:I462 B464:I474 B476:I477 B480:I480 B483:I483 B486:I486 B493:I493 B497:I497 B501:I501 B504:I504 B508:I508 B518:I518 B520:I520 B522:I525 B527:I529">
    <cfRule type="expression" priority="3347" dxfId="0" stopIfTrue="1">
      <formula>$K9="Л1"</formula>
    </cfRule>
    <cfRule type="expression" priority="3346" dxfId="2" stopIfTrue="1">
      <formula>$K9="Л2"</formula>
    </cfRule>
    <cfRule type="expression" priority="3345" dxfId="4" stopIfTrue="1">
      <formula>$K9="Л3"</formula>
    </cfRule>
    <cfRule type="expression" priority="3344" dxfId="3" stopIfTrue="1">
      <formula>$K9="Л4"</formula>
    </cfRule>
    <cfRule type="expression" priority="3343" dxfId="1" stopIfTrue="1">
      <formula>$K9="Л5"</formula>
    </cfRule>
  </conditionalFormatting>
  <conditionalFormatting sqref="B9:I529">
    <cfRule type="expression" priority="3437" dxfId="879" stopIfTrue="1">
      <formula>#REF!="нп"</formula>
    </cfRule>
    <cfRule type="expression" priority="3436" dxfId="0" stopIfTrue="1">
      <formula>$K9="Л1"</formula>
    </cfRule>
    <cfRule type="expression" priority="3435" dxfId="4" stopIfTrue="1">
      <formula>$K9="Л3"</formula>
    </cfRule>
    <cfRule type="expression" priority="3434" dxfId="3" stopIfTrue="1">
      <formula>$K9="Л4"</formula>
    </cfRule>
    <cfRule type="expression" priority="3433" dxfId="1" stopIfTrue="1">
      <formula>$K9="Л5"</formula>
    </cfRule>
    <cfRule type="expression" priority="3432" dxfId="879" stopIfTrue="1">
      <formula>#REF!="нп"</formula>
    </cfRule>
  </conditionalFormatting>
  <conditionalFormatting sqref="B18:I19">
    <cfRule type="expression" priority="2046" dxfId="0" stopIfTrue="1">
      <formula>$K18="Л1"</formula>
    </cfRule>
    <cfRule type="expression" priority="2045" dxfId="2" stopIfTrue="1">
      <formula>$K18="Л2"</formula>
    </cfRule>
    <cfRule type="expression" priority="2044" dxfId="4" stopIfTrue="1">
      <formula>$K18="Л3"</formula>
    </cfRule>
    <cfRule type="expression" priority="2043" dxfId="3" stopIfTrue="1">
      <formula>$K18="Л4"</formula>
    </cfRule>
    <cfRule type="expression" priority="2042" dxfId="1" stopIfTrue="1">
      <formula>$K18="Л5"</formula>
    </cfRule>
  </conditionalFormatting>
  <conditionalFormatting sqref="B18:I20">
    <cfRule type="expression" priority="1973" dxfId="2" stopIfTrue="1">
      <formula>$K18="Л2"</formula>
    </cfRule>
  </conditionalFormatting>
  <conditionalFormatting sqref="B20:I20">
    <cfRule type="expression" priority="1970" dxfId="1" stopIfTrue="1">
      <formula>$K20="Л5"</formula>
    </cfRule>
    <cfRule type="expression" priority="1972" dxfId="4" stopIfTrue="1">
      <formula>$K20="Л3"</formula>
    </cfRule>
    <cfRule type="expression" priority="1974" dxfId="0" stopIfTrue="1">
      <formula>$K20="Л1"</formula>
    </cfRule>
    <cfRule type="expression" priority="1971" dxfId="3" stopIfTrue="1">
      <formula>$K20="Л4"</formula>
    </cfRule>
  </conditionalFormatting>
  <conditionalFormatting sqref="B20:I21">
    <cfRule type="expression" priority="1961" dxfId="2" stopIfTrue="1">
      <formula>$K20="Л2"</formula>
    </cfRule>
  </conditionalFormatting>
  <conditionalFormatting sqref="B21:I21">
    <cfRule type="expression" priority="1962" dxfId="0" stopIfTrue="1">
      <formula>$K21="Л1"</formula>
    </cfRule>
    <cfRule type="expression" priority="1958" dxfId="1" stopIfTrue="1">
      <formula>$K21="Л5"</formula>
    </cfRule>
    <cfRule type="expression" priority="1959" dxfId="3" stopIfTrue="1">
      <formula>$K21="Л4"</formula>
    </cfRule>
    <cfRule type="expression" priority="1960" dxfId="4" stopIfTrue="1">
      <formula>$K21="Л3"</formula>
    </cfRule>
  </conditionalFormatting>
  <conditionalFormatting sqref="B21:I22">
    <cfRule type="expression" priority="1949" dxfId="2" stopIfTrue="1">
      <formula>$K21="Л2"</formula>
    </cfRule>
  </conditionalFormatting>
  <conditionalFormatting sqref="B22:I22">
    <cfRule type="expression" priority="1947" dxfId="3" stopIfTrue="1">
      <formula>$K22="Л4"</formula>
    </cfRule>
    <cfRule type="expression" priority="1948" dxfId="4" stopIfTrue="1">
      <formula>$K22="Л3"</formula>
    </cfRule>
    <cfRule type="expression" priority="1946" dxfId="1" stopIfTrue="1">
      <formula>$K22="Л5"</formula>
    </cfRule>
    <cfRule type="expression" priority="1950" dxfId="0" stopIfTrue="1">
      <formula>$K22="Л1"</formula>
    </cfRule>
    <cfRule type="expression" priority="1945" dxfId="2" stopIfTrue="1">
      <formula>$K22="Л2"</formula>
    </cfRule>
  </conditionalFormatting>
  <conditionalFormatting sqref="B23:I26">
    <cfRule type="expression" priority="2021" dxfId="2" stopIfTrue="1">
      <formula>$K23="Л2"</formula>
    </cfRule>
  </conditionalFormatting>
  <conditionalFormatting sqref="B25:I25">
    <cfRule type="expression" priority="2017" dxfId="2" stopIfTrue="1">
      <formula>$K25="Л2"</formula>
    </cfRule>
    <cfRule type="expression" priority="2022" dxfId="0" stopIfTrue="1">
      <formula>$K25="Л1"</formula>
    </cfRule>
    <cfRule type="expression" priority="2020" dxfId="4" stopIfTrue="1">
      <formula>$K25="Л3"</formula>
    </cfRule>
    <cfRule type="expression" priority="2019" dxfId="3" stopIfTrue="1">
      <formula>$K25="Л4"</formula>
    </cfRule>
    <cfRule type="expression" priority="2018" dxfId="1" stopIfTrue="1">
      <formula>$K25="Л5"</formula>
    </cfRule>
  </conditionalFormatting>
  <conditionalFormatting sqref="B27:I28">
    <cfRule type="expression" priority="1890" dxfId="0" stopIfTrue="1">
      <formula>$K27="Л1"</formula>
    </cfRule>
    <cfRule type="expression" priority="1888" dxfId="4" stopIfTrue="1">
      <formula>$K27="Л3"</formula>
    </cfRule>
    <cfRule type="expression" priority="1887" dxfId="3" stopIfTrue="1">
      <formula>$K27="Л4"</formula>
    </cfRule>
    <cfRule type="expression" priority="1885" dxfId="2" stopIfTrue="1">
      <formula>$K27="Л2"</formula>
    </cfRule>
    <cfRule type="expression" priority="1886" dxfId="1" stopIfTrue="1">
      <formula>$K27="Л5"</formula>
    </cfRule>
  </conditionalFormatting>
  <conditionalFormatting sqref="B27:I29">
    <cfRule type="expression" priority="1889" dxfId="2" stopIfTrue="1">
      <formula>$K27="Л2"</formula>
    </cfRule>
  </conditionalFormatting>
  <conditionalFormatting sqref="B29:I29">
    <cfRule type="expression" priority="1982" dxfId="1" stopIfTrue="1">
      <formula>$K29="Л5"</formula>
    </cfRule>
    <cfRule type="expression" priority="1983" dxfId="3" stopIfTrue="1">
      <formula>$K29="Л4"</formula>
    </cfRule>
    <cfRule type="expression" priority="1984" dxfId="4" stopIfTrue="1">
      <formula>$K29="Л3"</formula>
    </cfRule>
    <cfRule type="expression" priority="1986" dxfId="0" stopIfTrue="1">
      <formula>$K29="Л1"</formula>
    </cfRule>
  </conditionalFormatting>
  <conditionalFormatting sqref="B29:I30">
    <cfRule type="expression" priority="1985" dxfId="2" stopIfTrue="1">
      <formula>$K29="Л2"</formula>
    </cfRule>
  </conditionalFormatting>
  <conditionalFormatting sqref="B30:I30">
    <cfRule type="expression" priority="1995" dxfId="3" stopIfTrue="1">
      <formula>$K30="Л4"</formula>
    </cfRule>
    <cfRule type="expression" priority="1994" dxfId="1" stopIfTrue="1">
      <formula>$K30="Л5"</formula>
    </cfRule>
    <cfRule type="expression" priority="1998" dxfId="0" stopIfTrue="1">
      <formula>$K30="Л1"</formula>
    </cfRule>
    <cfRule type="expression" priority="1996" dxfId="4" stopIfTrue="1">
      <formula>$K30="Л3"</formula>
    </cfRule>
    <cfRule type="expression" priority="1997" dxfId="2" stopIfTrue="1">
      <formula>$K30="Л2"</formula>
    </cfRule>
  </conditionalFormatting>
  <conditionalFormatting sqref="B31:I31">
    <cfRule type="expression" priority="1934" dxfId="1" stopIfTrue="1">
      <formula>$K31="Л5"</formula>
    </cfRule>
    <cfRule type="expression" priority="1935" dxfId="3" stopIfTrue="1">
      <formula>$K31="Л4"</formula>
    </cfRule>
    <cfRule type="expression" priority="1936" dxfId="4" stopIfTrue="1">
      <formula>$K31="Л3"</formula>
    </cfRule>
    <cfRule type="expression" priority="1937" dxfId="2" stopIfTrue="1">
      <formula>$K31="Л2"</formula>
    </cfRule>
    <cfRule type="expression" priority="1938" dxfId="0" stopIfTrue="1">
      <formula>$K31="Л1"</formula>
    </cfRule>
  </conditionalFormatting>
  <conditionalFormatting sqref="B31:I32">
    <cfRule type="expression" priority="1925" dxfId="2" stopIfTrue="1">
      <formula>$K31="Л2"</formula>
    </cfRule>
  </conditionalFormatting>
  <conditionalFormatting sqref="B32:I32">
    <cfRule type="expression" priority="1922" dxfId="1" stopIfTrue="1">
      <formula>$K32="Л5"</formula>
    </cfRule>
    <cfRule type="expression" priority="1924" dxfId="4" stopIfTrue="1">
      <formula>$K32="Л3"</formula>
    </cfRule>
    <cfRule type="expression" priority="1926" dxfId="0" stopIfTrue="1">
      <formula>$K32="Л1"</formula>
    </cfRule>
    <cfRule type="expression" priority="1923" dxfId="3" stopIfTrue="1">
      <formula>$K32="Л4"</formula>
    </cfRule>
  </conditionalFormatting>
  <conditionalFormatting sqref="B32:I34">
    <cfRule type="expression" priority="1913" dxfId="2" stopIfTrue="1">
      <formula>$K32="Л2"</formula>
    </cfRule>
  </conditionalFormatting>
  <conditionalFormatting sqref="B33:I33">
    <cfRule type="expression" priority="1914" dxfId="0" stopIfTrue="1">
      <formula>$K33="Л1"</formula>
    </cfRule>
    <cfRule type="expression" priority="1909" dxfId="2" stopIfTrue="1">
      <formula>$K33="Л2"</formula>
    </cfRule>
    <cfRule type="expression" priority="1910" dxfId="1" stopIfTrue="1">
      <formula>$K33="Л5"</formula>
    </cfRule>
    <cfRule type="expression" priority="1911" dxfId="3" stopIfTrue="1">
      <formula>$K33="Л4"</formula>
    </cfRule>
    <cfRule type="expression" priority="1912" dxfId="4" stopIfTrue="1">
      <formula>$K33="Л3"</formula>
    </cfRule>
  </conditionalFormatting>
  <conditionalFormatting sqref="B34:I34">
    <cfRule type="expression" priority="2010" dxfId="0" stopIfTrue="1">
      <formula>$K34="Л1"</formula>
    </cfRule>
    <cfRule type="expression" priority="2006" dxfId="1" stopIfTrue="1">
      <formula>$K34="Л5"</formula>
    </cfRule>
    <cfRule type="expression" priority="2007" dxfId="3" stopIfTrue="1">
      <formula>$K34="Л4"</formula>
    </cfRule>
    <cfRule type="expression" priority="2008" dxfId="4" stopIfTrue="1">
      <formula>$K34="Л3"</formula>
    </cfRule>
  </conditionalFormatting>
  <conditionalFormatting sqref="B34:I36">
    <cfRule type="expression" priority="2009" dxfId="2" stopIfTrue="1">
      <formula>$K34="Л2"</formula>
    </cfRule>
  </conditionalFormatting>
  <conditionalFormatting sqref="B37:I37">
    <cfRule type="expression" priority="1898" dxfId="1" stopIfTrue="1">
      <formula>$K37="Л5"</formula>
    </cfRule>
    <cfRule type="expression" priority="1897" dxfId="2" stopIfTrue="1">
      <formula>$K37="Л2"</formula>
    </cfRule>
    <cfRule type="expression" priority="1900" dxfId="4" stopIfTrue="1">
      <formula>$K37="Л3"</formula>
    </cfRule>
    <cfRule type="expression" priority="1899" dxfId="3" stopIfTrue="1">
      <formula>$K37="Л4"</formula>
    </cfRule>
    <cfRule type="expression" priority="1902" dxfId="0" stopIfTrue="1">
      <formula>$K37="Л1"</formula>
    </cfRule>
  </conditionalFormatting>
  <conditionalFormatting sqref="B37:I45">
    <cfRule type="expression" priority="1901" dxfId="2" stopIfTrue="1">
      <formula>$K37="Л2"</formula>
    </cfRule>
  </conditionalFormatting>
  <conditionalFormatting sqref="B46:I46">
    <cfRule type="expression" priority="1057" dxfId="2" stopIfTrue="1">
      <formula>$K46="Л2"</formula>
    </cfRule>
    <cfRule type="expression" priority="1062" dxfId="0" stopIfTrue="1">
      <formula>$K46="Л1"</formula>
    </cfRule>
    <cfRule type="expression" priority="1061" dxfId="2" stopIfTrue="1">
      <formula>$K46="Л2"</formula>
    </cfRule>
    <cfRule type="expression" priority="1060" dxfId="4" stopIfTrue="1">
      <formula>$K46="Л3"</formula>
    </cfRule>
    <cfRule type="expression" priority="1059" dxfId="3" stopIfTrue="1">
      <formula>$K46="Л4"</formula>
    </cfRule>
    <cfRule type="expression" priority="1058" dxfId="1" stopIfTrue="1">
      <formula>$K46="Л5"</formula>
    </cfRule>
  </conditionalFormatting>
  <conditionalFormatting sqref="B47:I148">
    <cfRule type="expression" priority="1685" dxfId="2" stopIfTrue="1">
      <formula>$K47="Л2"</formula>
    </cfRule>
  </conditionalFormatting>
  <conditionalFormatting sqref="B147:I148">
    <cfRule type="expression" priority="1683" dxfId="3" stopIfTrue="1">
      <formula>$K147="Л4"</formula>
    </cfRule>
    <cfRule type="expression" priority="1684" dxfId="4" stopIfTrue="1">
      <formula>$K147="Л3"</formula>
    </cfRule>
    <cfRule type="expression" priority="1686" dxfId="0" stopIfTrue="1">
      <formula>$K147="Л1"</formula>
    </cfRule>
    <cfRule type="expression" priority="1682" dxfId="1" stopIfTrue="1">
      <formula>$K147="Л5"</formula>
    </cfRule>
  </conditionalFormatting>
  <conditionalFormatting sqref="B147:I168">
    <cfRule type="expression" priority="1673" dxfId="2" stopIfTrue="1">
      <formula>$K147="Л2"</formula>
    </cfRule>
  </conditionalFormatting>
  <conditionalFormatting sqref="B149:I157">
    <cfRule type="expression" priority="1670" dxfId="1" stopIfTrue="1">
      <formula>$K149="Л5"</formula>
    </cfRule>
    <cfRule type="expression" priority="1669" dxfId="2" stopIfTrue="1">
      <formula>$K149="Л2"</formula>
    </cfRule>
    <cfRule type="expression" priority="1671" dxfId="3" stopIfTrue="1">
      <formula>$K149="Л4"</formula>
    </cfRule>
    <cfRule type="expression" priority="1672" dxfId="4" stopIfTrue="1">
      <formula>$K149="Л3"</formula>
    </cfRule>
    <cfRule type="expression" priority="1674" dxfId="0" stopIfTrue="1">
      <formula>$K149="Л1"</formula>
    </cfRule>
  </conditionalFormatting>
  <conditionalFormatting sqref="B169:I169">
    <cfRule type="expression" priority="1659" dxfId="3" stopIfTrue="1">
      <formula>$K169="Л4"</formula>
    </cfRule>
    <cfRule type="expression" priority="1658" dxfId="1" stopIfTrue="1">
      <formula>$K169="Л5"</formula>
    </cfRule>
    <cfRule type="expression" priority="1660" dxfId="4" stopIfTrue="1">
      <formula>$K169="Л3"</formula>
    </cfRule>
    <cfRule type="expression" priority="1661" dxfId="2" stopIfTrue="1">
      <formula>$K169="Л2"</formula>
    </cfRule>
    <cfRule type="expression" priority="1662" dxfId="0" stopIfTrue="1">
      <formula>$K169="Л1"</formula>
    </cfRule>
  </conditionalFormatting>
  <conditionalFormatting sqref="B169:I171">
    <cfRule type="expression" priority="1649" dxfId="2" stopIfTrue="1">
      <formula>$K169="Л2"</formula>
    </cfRule>
  </conditionalFormatting>
  <conditionalFormatting sqref="B170:I171">
    <cfRule type="expression" priority="1648" dxfId="4" stopIfTrue="1">
      <formula>$K170="Л3"</formula>
    </cfRule>
    <cfRule type="expression" priority="1650" dxfId="0" stopIfTrue="1">
      <formula>$K170="Л1"</formula>
    </cfRule>
    <cfRule type="expression" priority="1646" dxfId="1" stopIfTrue="1">
      <formula>$K170="Л5"</formula>
    </cfRule>
    <cfRule type="expression" priority="1647" dxfId="3" stopIfTrue="1">
      <formula>$K170="Л4"</formula>
    </cfRule>
  </conditionalFormatting>
  <conditionalFormatting sqref="B170:I191">
    <cfRule type="expression" priority="1637" dxfId="2" stopIfTrue="1">
      <formula>$K170="Л2"</formula>
    </cfRule>
  </conditionalFormatting>
  <conditionalFormatting sqref="B172:I180">
    <cfRule type="expression" priority="1635" dxfId="3" stopIfTrue="1">
      <formula>$K172="Л4"</formula>
    </cfRule>
    <cfRule type="expression" priority="1634" dxfId="1" stopIfTrue="1">
      <formula>$K172="Л5"</formula>
    </cfRule>
    <cfRule type="expression" priority="1633" dxfId="2" stopIfTrue="1">
      <formula>$K172="Л2"</formula>
    </cfRule>
    <cfRule type="expression" priority="1638" dxfId="0" stopIfTrue="1">
      <formula>$K172="Л1"</formula>
    </cfRule>
    <cfRule type="expression" priority="1636" dxfId="4" stopIfTrue="1">
      <formula>$K172="Л3"</formula>
    </cfRule>
  </conditionalFormatting>
  <conditionalFormatting sqref="B192:I192">
    <cfRule type="expression" priority="1597" dxfId="2" stopIfTrue="1">
      <formula>$K192="Л2"</formula>
    </cfRule>
    <cfRule type="expression" priority="1598" dxfId="1" stopIfTrue="1">
      <formula>$K192="Л5"</formula>
    </cfRule>
    <cfRule type="expression" priority="1601" dxfId="2" stopIfTrue="1">
      <formula>$K192="Л2"</formula>
    </cfRule>
    <cfRule type="expression" priority="1600" dxfId="4" stopIfTrue="1">
      <formula>$K192="Л3"</formula>
    </cfRule>
    <cfRule type="expression" priority="1599" dxfId="3" stopIfTrue="1">
      <formula>$K192="Л4"</formula>
    </cfRule>
    <cfRule type="expression" priority="1602" dxfId="0" stopIfTrue="1">
      <formula>$K192="Л1"</formula>
    </cfRule>
  </conditionalFormatting>
  <conditionalFormatting sqref="B193:I194">
    <cfRule type="expression" priority="1623" dxfId="3" stopIfTrue="1">
      <formula>$K193="Л4"</formula>
    </cfRule>
    <cfRule type="expression" priority="1626" dxfId="0" stopIfTrue="1">
      <formula>$K193="Л1"</formula>
    </cfRule>
    <cfRule type="expression" priority="1625" dxfId="2" stopIfTrue="1">
      <formula>$K193="Л2"</formula>
    </cfRule>
    <cfRule type="expression" priority="1624" dxfId="4" stopIfTrue="1">
      <formula>$K193="Л3"</formula>
    </cfRule>
    <cfRule type="expression" priority="1622" dxfId="1" stopIfTrue="1">
      <formula>$K193="Л5"</formula>
    </cfRule>
  </conditionalFormatting>
  <conditionalFormatting sqref="B193:I215">
    <cfRule type="expression" priority="1613" dxfId="2" stopIfTrue="1">
      <formula>$K193="Л2"</formula>
    </cfRule>
  </conditionalFormatting>
  <conditionalFormatting sqref="B195:I203">
    <cfRule type="expression" priority="1609" dxfId="2" stopIfTrue="1">
      <formula>$K195="Л2"</formula>
    </cfRule>
    <cfRule type="expression" priority="1612" dxfId="4" stopIfTrue="1">
      <formula>$K195="Л3"</formula>
    </cfRule>
    <cfRule type="expression" priority="1611" dxfId="3" stopIfTrue="1">
      <formula>$K195="Л4"</formula>
    </cfRule>
    <cfRule type="expression" priority="1610" dxfId="1" stopIfTrue="1">
      <formula>$K195="Л5"</formula>
    </cfRule>
    <cfRule type="expression" priority="1614" dxfId="0" stopIfTrue="1">
      <formula>$K195="Л1"</formula>
    </cfRule>
  </conditionalFormatting>
  <conditionalFormatting sqref="B216:I217">
    <cfRule type="expression" priority="1384" dxfId="4" stopIfTrue="1">
      <formula>$K216="Л3"</formula>
    </cfRule>
    <cfRule type="expression" priority="1383" dxfId="3" stopIfTrue="1">
      <formula>$K216="Л4"</formula>
    </cfRule>
    <cfRule type="expression" priority="1382" dxfId="1" stopIfTrue="1">
      <formula>$K216="Л5"</formula>
    </cfRule>
    <cfRule type="expression" priority="1381" dxfId="2" stopIfTrue="1">
      <formula>$K216="Л2"</formula>
    </cfRule>
    <cfRule type="expression" priority="1386" dxfId="0" stopIfTrue="1">
      <formula>$K216="Л1"</formula>
    </cfRule>
  </conditionalFormatting>
  <conditionalFormatting sqref="B216:I232">
    <cfRule type="expression" priority="1385" dxfId="2" stopIfTrue="1">
      <formula>$K216="Л2"</formula>
    </cfRule>
  </conditionalFormatting>
  <conditionalFormatting sqref="B233:I234">
    <cfRule type="expression" priority="1359" dxfId="3" stopIfTrue="1">
      <formula>$K233="Л4"</formula>
    </cfRule>
    <cfRule type="expression" priority="1360" dxfId="4" stopIfTrue="1">
      <formula>$K233="Л3"</formula>
    </cfRule>
    <cfRule type="expression" priority="1357" dxfId="2" stopIfTrue="1">
      <formula>$K233="Л2"</formula>
    </cfRule>
    <cfRule type="expression" priority="1361" dxfId="2" stopIfTrue="1">
      <formula>$K233="Л2"</formula>
    </cfRule>
    <cfRule type="expression" priority="1358" dxfId="1" stopIfTrue="1">
      <formula>$K233="Л5"</formula>
    </cfRule>
    <cfRule type="expression" priority="1362" dxfId="0" stopIfTrue="1">
      <formula>$K233="Л1"</formula>
    </cfRule>
  </conditionalFormatting>
  <conditionalFormatting sqref="B235:I236">
    <cfRule type="expression" priority="1373" dxfId="2" stopIfTrue="1">
      <formula>$K235="Л2"</formula>
    </cfRule>
  </conditionalFormatting>
  <conditionalFormatting sqref="B236:I236">
    <cfRule type="expression" priority="1371" dxfId="3" stopIfTrue="1">
      <formula>$K236="Л4"</formula>
    </cfRule>
    <cfRule type="expression" priority="1372" dxfId="4" stopIfTrue="1">
      <formula>$K236="Л3"</formula>
    </cfRule>
    <cfRule type="expression" priority="1374" dxfId="0" stopIfTrue="1">
      <formula>$K236="Л1"</formula>
    </cfRule>
    <cfRule type="expression" priority="1370" dxfId="1" stopIfTrue="1">
      <formula>$K236="Л5"</formula>
    </cfRule>
    <cfRule type="expression" priority="1369" dxfId="2" stopIfTrue="1">
      <formula>$K236="Л2"</formula>
    </cfRule>
  </conditionalFormatting>
  <conditionalFormatting sqref="B237:I246">
    <cfRule type="expression" priority="1745" dxfId="2" stopIfTrue="1">
      <formula>$K237="Л2"</formula>
    </cfRule>
  </conditionalFormatting>
  <conditionalFormatting sqref="B244:I246">
    <cfRule type="expression" priority="1746" dxfId="0" stopIfTrue="1">
      <formula>$K244="Л1"</formula>
    </cfRule>
    <cfRule type="expression" priority="1744" dxfId="4" stopIfTrue="1">
      <formula>$K244="Л3"</formula>
    </cfRule>
    <cfRule type="expression" priority="1743" dxfId="3" stopIfTrue="1">
      <formula>$K244="Л4"</formula>
    </cfRule>
    <cfRule type="expression" priority="1742" dxfId="1" stopIfTrue="1">
      <formula>$K244="Л5"</formula>
    </cfRule>
  </conditionalFormatting>
  <conditionalFormatting sqref="B244:I255">
    <cfRule type="expression" priority="1733" dxfId="2" stopIfTrue="1">
      <formula>$K244="Л2"</formula>
    </cfRule>
  </conditionalFormatting>
  <conditionalFormatting sqref="B247:I250">
    <cfRule type="expression" priority="1732" dxfId="4" stopIfTrue="1">
      <formula>$K247="Л3"</formula>
    </cfRule>
    <cfRule type="expression" priority="1731" dxfId="3" stopIfTrue="1">
      <formula>$K247="Л4"</formula>
    </cfRule>
    <cfRule type="expression" priority="1730" dxfId="1" stopIfTrue="1">
      <formula>$K247="Л5"</formula>
    </cfRule>
    <cfRule type="expression" priority="1729" dxfId="2" stopIfTrue="1">
      <formula>$K247="Л2"</formula>
    </cfRule>
    <cfRule type="expression" priority="1734" dxfId="0" stopIfTrue="1">
      <formula>$K247="Л1"</formula>
    </cfRule>
  </conditionalFormatting>
  <conditionalFormatting sqref="B256:I256">
    <cfRule type="expression" priority="1721" dxfId="2" stopIfTrue="1">
      <formula>$K256="Л2"</formula>
    </cfRule>
    <cfRule type="expression" priority="1722" dxfId="0" stopIfTrue="1">
      <formula>$K256="Л1"</formula>
    </cfRule>
    <cfRule type="expression" priority="1720" dxfId="4" stopIfTrue="1">
      <formula>$K256="Л3"</formula>
    </cfRule>
    <cfRule type="expression" priority="1719" dxfId="3" stopIfTrue="1">
      <formula>$K256="Л4"</formula>
    </cfRule>
    <cfRule type="expression" priority="1718" dxfId="1" stopIfTrue="1">
      <formula>$K256="Л5"</formula>
    </cfRule>
  </conditionalFormatting>
  <conditionalFormatting sqref="B256:I259">
    <cfRule type="expression" priority="1709" dxfId="2" stopIfTrue="1">
      <formula>$K256="Л2"</formula>
    </cfRule>
  </conditionalFormatting>
  <conditionalFormatting sqref="B257:I259">
    <cfRule type="expression" priority="1710" dxfId="0" stopIfTrue="1">
      <formula>$K257="Л1"</formula>
    </cfRule>
    <cfRule type="expression" priority="1708" dxfId="4" stopIfTrue="1">
      <formula>$K257="Л3"</formula>
    </cfRule>
    <cfRule type="expression" priority="1707" dxfId="3" stopIfTrue="1">
      <formula>$K257="Л4"</formula>
    </cfRule>
    <cfRule type="expression" priority="1706" dxfId="1" stopIfTrue="1">
      <formula>$K257="Л5"</formula>
    </cfRule>
  </conditionalFormatting>
  <conditionalFormatting sqref="B257:I273">
    <cfRule type="expression" priority="1697" dxfId="2" stopIfTrue="1">
      <formula>$K257="Л2"</formula>
    </cfRule>
  </conditionalFormatting>
  <conditionalFormatting sqref="B260:I263">
    <cfRule type="expression" priority="1698" dxfId="0" stopIfTrue="1">
      <formula>$K260="Л1"</formula>
    </cfRule>
    <cfRule type="expression" priority="1696" dxfId="4" stopIfTrue="1">
      <formula>$K260="Л3"</formula>
    </cfRule>
    <cfRule type="expression" priority="1694" dxfId="1" stopIfTrue="1">
      <formula>$K260="Л5"</formula>
    </cfRule>
    <cfRule type="expression" priority="1693" dxfId="2" stopIfTrue="1">
      <formula>$K260="Л2"</formula>
    </cfRule>
    <cfRule type="expression" priority="1695" dxfId="3" stopIfTrue="1">
      <formula>$K260="Л4"</formula>
    </cfRule>
  </conditionalFormatting>
  <conditionalFormatting sqref="B274:I274">
    <cfRule type="expression" priority="1177" dxfId="2" stopIfTrue="1">
      <formula>$K274="Л2"</formula>
    </cfRule>
    <cfRule type="expression" priority="1179" dxfId="3" stopIfTrue="1">
      <formula>$K274="Л4"</formula>
    </cfRule>
    <cfRule type="expression" priority="1181" dxfId="2" stopIfTrue="1">
      <formula>$K274="Л2"</formula>
    </cfRule>
    <cfRule type="expression" priority="1182" dxfId="0" stopIfTrue="1">
      <formula>$K274="Л1"</formula>
    </cfRule>
    <cfRule type="expression" priority="1178" dxfId="1" stopIfTrue="1">
      <formula>$K274="Л5"</formula>
    </cfRule>
    <cfRule type="expression" priority="1180" dxfId="4" stopIfTrue="1">
      <formula>$K274="Л3"</formula>
    </cfRule>
  </conditionalFormatting>
  <conditionalFormatting sqref="B275:I276">
    <cfRule type="expression" priority="1325" dxfId="2" stopIfTrue="1">
      <formula>$K275="Л2"</formula>
    </cfRule>
  </conditionalFormatting>
  <conditionalFormatting sqref="B276:I276">
    <cfRule type="expression" priority="1322" dxfId="1" stopIfTrue="1">
      <formula>$K276="Л5"</formula>
    </cfRule>
    <cfRule type="expression" priority="1326" dxfId="0" stopIfTrue="1">
      <formula>$K276="Л1"</formula>
    </cfRule>
    <cfRule type="expression" priority="1324" dxfId="4" stopIfTrue="1">
      <formula>$K276="Л3"</formula>
    </cfRule>
    <cfRule type="expression" priority="1323" dxfId="3" stopIfTrue="1">
      <formula>$K276="Л4"</formula>
    </cfRule>
  </conditionalFormatting>
  <conditionalFormatting sqref="B276:I277">
    <cfRule type="expression" priority="5" dxfId="2" stopIfTrue="1">
      <formula>$K276="Л2"</formula>
    </cfRule>
  </conditionalFormatting>
  <conditionalFormatting sqref="B277:I277">
    <cfRule type="expression" priority="3" dxfId="3" stopIfTrue="1">
      <formula>$K277="Л4"</formula>
    </cfRule>
    <cfRule type="expression" priority="4" dxfId="4" stopIfTrue="1">
      <formula>$K277="Л3"</formula>
    </cfRule>
    <cfRule type="expression" priority="6" dxfId="0" stopIfTrue="1">
      <formula>$K277="Л1"</formula>
    </cfRule>
    <cfRule type="expression" priority="2" dxfId="1" stopIfTrue="1">
      <formula>$K277="Л5"</formula>
    </cfRule>
    <cfRule type="expression" priority="1" dxfId="2" stopIfTrue="1">
      <formula>$K277="Л2"</formula>
    </cfRule>
  </conditionalFormatting>
  <conditionalFormatting sqref="B278:I283">
    <cfRule type="expression" priority="1169" dxfId="2" stopIfTrue="1">
      <formula>$K278="Л2"</formula>
    </cfRule>
  </conditionalFormatting>
  <conditionalFormatting sqref="B283:I283">
    <cfRule type="expression" priority="1168" dxfId="4" stopIfTrue="1">
      <formula>$K283="Л3"</formula>
    </cfRule>
    <cfRule type="expression" priority="1165" dxfId="2" stopIfTrue="1">
      <formula>$K283="Л2"</formula>
    </cfRule>
    <cfRule type="expression" priority="1167" dxfId="3" stopIfTrue="1">
      <formula>$K283="Л4"</formula>
    </cfRule>
    <cfRule type="expression" priority="1170" dxfId="0" stopIfTrue="1">
      <formula>$K283="Л1"</formula>
    </cfRule>
    <cfRule type="expression" priority="1166" dxfId="1" stopIfTrue="1">
      <formula>$K283="Л5"</formula>
    </cfRule>
  </conditionalFormatting>
  <conditionalFormatting sqref="B284:I286">
    <cfRule type="expression" priority="1277" dxfId="2" stopIfTrue="1">
      <formula>$K284="Л2"</formula>
    </cfRule>
  </conditionalFormatting>
  <conditionalFormatting sqref="B286:I286">
    <cfRule type="expression" priority="1275" dxfId="3" stopIfTrue="1">
      <formula>$K286="Л4"</formula>
    </cfRule>
    <cfRule type="expression" priority="1274" dxfId="1" stopIfTrue="1">
      <formula>$K286="Л5"</formula>
    </cfRule>
    <cfRule type="expression" priority="1278" dxfId="0" stopIfTrue="1">
      <formula>$K286="Л1"</formula>
    </cfRule>
    <cfRule type="expression" priority="1276" dxfId="4" stopIfTrue="1">
      <formula>$K286="Л3"</formula>
    </cfRule>
  </conditionalFormatting>
  <conditionalFormatting sqref="B286:I287">
    <cfRule type="expression" priority="1265" dxfId="2" stopIfTrue="1">
      <formula>$K286="Л2"</formula>
    </cfRule>
  </conditionalFormatting>
  <conditionalFormatting sqref="B287:I287">
    <cfRule type="expression" priority="1266" dxfId="0" stopIfTrue="1">
      <formula>$K287="Л1"</formula>
    </cfRule>
    <cfRule type="expression" priority="1264" dxfId="4" stopIfTrue="1">
      <formula>$K287="Л3"</formula>
    </cfRule>
    <cfRule type="expression" priority="1263" dxfId="3" stopIfTrue="1">
      <formula>$K287="Л4"</formula>
    </cfRule>
    <cfRule type="expression" priority="1261" dxfId="2" stopIfTrue="1">
      <formula>$K287="Л2"</formula>
    </cfRule>
    <cfRule type="expression" priority="1262" dxfId="1" stopIfTrue="1">
      <formula>$K287="Л5"</formula>
    </cfRule>
  </conditionalFormatting>
  <conditionalFormatting sqref="B288:I289 B291:I292">
    <cfRule type="expression" priority="1337" dxfId="2" stopIfTrue="1">
      <formula>$K288="Л2"</formula>
    </cfRule>
  </conditionalFormatting>
  <conditionalFormatting sqref="B289:I289 B291:I291">
    <cfRule type="expression" priority="1338" dxfId="0" stopIfTrue="1">
      <formula>$K289="Л1"</formula>
    </cfRule>
    <cfRule type="expression" priority="1336" dxfId="4" stopIfTrue="1">
      <formula>$K289="Л3"</formula>
    </cfRule>
    <cfRule type="expression" priority="1335" dxfId="3" stopIfTrue="1">
      <formula>$K289="Л4"</formula>
    </cfRule>
    <cfRule type="expression" priority="1334" dxfId="1" stopIfTrue="1">
      <formula>$K289="Л5"</formula>
    </cfRule>
  </conditionalFormatting>
  <conditionalFormatting sqref="B289:I291">
    <cfRule type="expression" priority="1217" dxfId="2" stopIfTrue="1">
      <formula>$K289="Л2"</formula>
    </cfRule>
  </conditionalFormatting>
  <conditionalFormatting sqref="B290:I290">
    <cfRule type="expression" priority="1215" dxfId="3" stopIfTrue="1">
      <formula>$K290="Л4"</formula>
    </cfRule>
    <cfRule type="expression" priority="1216" dxfId="4" stopIfTrue="1">
      <formula>$K290="Л3"</formula>
    </cfRule>
    <cfRule type="expression" priority="1218" dxfId="0" stopIfTrue="1">
      <formula>$K290="Л1"</formula>
    </cfRule>
    <cfRule type="expression" priority="1213" dxfId="2" stopIfTrue="1">
      <formula>$K290="Л2"</formula>
    </cfRule>
    <cfRule type="expression" priority="1214" dxfId="1" stopIfTrue="1">
      <formula>$K290="Л5"</formula>
    </cfRule>
  </conditionalFormatting>
  <conditionalFormatting sqref="B293:I293 B295:I295">
    <cfRule type="expression" priority="1290" dxfId="0" stopIfTrue="1">
      <formula>$K293="Л1"</formula>
    </cfRule>
    <cfRule type="expression" priority="1288" dxfId="4" stopIfTrue="1">
      <formula>$K293="Л3"</formula>
    </cfRule>
    <cfRule type="expression" priority="1286" dxfId="1" stopIfTrue="1">
      <formula>$K293="Л5"</formula>
    </cfRule>
    <cfRule type="expression" priority="1287" dxfId="3" stopIfTrue="1">
      <formula>$K293="Л4"</formula>
    </cfRule>
  </conditionalFormatting>
  <conditionalFormatting sqref="B293:I293 B295:I299">
    <cfRule type="expression" priority="1289" dxfId="2" stopIfTrue="1">
      <formula>$K293="Л2"</formula>
    </cfRule>
  </conditionalFormatting>
  <conditionalFormatting sqref="B293:I295">
    <cfRule type="expression" priority="1205" dxfId="2" stopIfTrue="1">
      <formula>$K293="Л2"</formula>
    </cfRule>
  </conditionalFormatting>
  <conditionalFormatting sqref="B294:I294">
    <cfRule type="expression" priority="1204" dxfId="4" stopIfTrue="1">
      <formula>$K294="Л3"</formula>
    </cfRule>
    <cfRule type="expression" priority="1206" dxfId="0" stopIfTrue="1">
      <formula>$K294="Л1"</formula>
    </cfRule>
    <cfRule type="expression" priority="1203" dxfId="3" stopIfTrue="1">
      <formula>$K294="Л4"</formula>
    </cfRule>
    <cfRule type="expression" priority="1202" dxfId="1" stopIfTrue="1">
      <formula>$K294="Л5"</formula>
    </cfRule>
    <cfRule type="expression" priority="1201" dxfId="2" stopIfTrue="1">
      <formula>$K294="Л2"</formula>
    </cfRule>
  </conditionalFormatting>
  <conditionalFormatting sqref="B300:I300">
    <cfRule type="expression" priority="1155" dxfId="3" stopIfTrue="1">
      <formula>$K300="Л4"</formula>
    </cfRule>
    <cfRule type="expression" priority="1158" dxfId="0" stopIfTrue="1">
      <formula>$K300="Л1"</formula>
    </cfRule>
    <cfRule type="expression" priority="1157" dxfId="2" stopIfTrue="1">
      <formula>$K300="Л2"</formula>
    </cfRule>
    <cfRule type="expression" priority="1156" dxfId="4" stopIfTrue="1">
      <formula>$K300="Л3"</formula>
    </cfRule>
    <cfRule type="expression" priority="1154" dxfId="1" stopIfTrue="1">
      <formula>$K300="Л5"</formula>
    </cfRule>
  </conditionalFormatting>
  <conditionalFormatting sqref="B300:I301">
    <cfRule type="expression" priority="1145" dxfId="2" stopIfTrue="1">
      <formula>$K300="Л2"</formula>
    </cfRule>
  </conditionalFormatting>
  <conditionalFormatting sqref="B301:I301">
    <cfRule type="expression" priority="1146" dxfId="0" stopIfTrue="1">
      <formula>$K301="Л1"</formula>
    </cfRule>
    <cfRule type="expression" priority="1144" dxfId="4" stopIfTrue="1">
      <formula>$K301="Л3"</formula>
    </cfRule>
    <cfRule type="expression" priority="1143" dxfId="3" stopIfTrue="1">
      <formula>$K301="Л4"</formula>
    </cfRule>
    <cfRule type="expression" priority="1142" dxfId="1" stopIfTrue="1">
      <formula>$K301="Л5"</formula>
    </cfRule>
  </conditionalFormatting>
  <conditionalFormatting sqref="B301:I306">
    <cfRule type="expression" priority="1133" dxfId="2" stopIfTrue="1">
      <formula>$K301="Л2"</formula>
    </cfRule>
  </conditionalFormatting>
  <conditionalFormatting sqref="B302:I302">
    <cfRule type="expression" priority="1129" dxfId="2" stopIfTrue="1">
      <formula>$K302="Л2"</formula>
    </cfRule>
    <cfRule type="expression" priority="1134" dxfId="0" stopIfTrue="1">
      <formula>$K302="Л1"</formula>
    </cfRule>
    <cfRule type="expression" priority="1132" dxfId="4" stopIfTrue="1">
      <formula>$K302="Л3"</formula>
    </cfRule>
    <cfRule type="expression" priority="1131" dxfId="3" stopIfTrue="1">
      <formula>$K302="Л4"</formula>
    </cfRule>
    <cfRule type="expression" priority="1130" dxfId="1" stopIfTrue="1">
      <formula>$K302="Л5"</formula>
    </cfRule>
  </conditionalFormatting>
  <conditionalFormatting sqref="B307:I307">
    <cfRule type="expression" priority="1119" dxfId="3" stopIfTrue="1">
      <formula>$K307="Л4"</formula>
    </cfRule>
    <cfRule type="expression" priority="1118" dxfId="1" stopIfTrue="1">
      <formula>$K307="Л5"</formula>
    </cfRule>
    <cfRule type="expression" priority="1117" dxfId="2" stopIfTrue="1">
      <formula>$K307="Л2"</formula>
    </cfRule>
    <cfRule type="expression" priority="1122" dxfId="0" stopIfTrue="1">
      <formula>$K307="Л1"</formula>
    </cfRule>
    <cfRule type="expression" priority="1121" dxfId="2" stopIfTrue="1">
      <formula>$K307="Л2"</formula>
    </cfRule>
    <cfRule type="expression" priority="1120" dxfId="4" stopIfTrue="1">
      <formula>$K307="Л3"</formula>
    </cfRule>
  </conditionalFormatting>
  <conditionalFormatting sqref="B308:I310">
    <cfRule type="expression" priority="1193" dxfId="2" stopIfTrue="1">
      <formula>$K308="Л2"</formula>
    </cfRule>
  </conditionalFormatting>
  <conditionalFormatting sqref="B309:I309">
    <cfRule type="expression" priority="1190" dxfId="1" stopIfTrue="1">
      <formula>$K309="Л5"</formula>
    </cfRule>
    <cfRule type="expression" priority="1191" dxfId="3" stopIfTrue="1">
      <formula>$K309="Л4"</formula>
    </cfRule>
    <cfRule type="expression" priority="1194" dxfId="0" stopIfTrue="1">
      <formula>$K309="Л1"</formula>
    </cfRule>
    <cfRule type="expression" priority="1192" dxfId="4" stopIfTrue="1">
      <formula>$K309="Л3"</formula>
    </cfRule>
    <cfRule type="expression" priority="1189" dxfId="2" stopIfTrue="1">
      <formula>$K309="Л2"</formula>
    </cfRule>
  </conditionalFormatting>
  <conditionalFormatting sqref="B311:I315">
    <cfRule type="expression" priority="13" dxfId="2" stopIfTrue="1">
      <formula>$K311="Л2"</formula>
    </cfRule>
    <cfRule type="expression" priority="14" dxfId="1" stopIfTrue="1">
      <formula>$K311="Л5"</formula>
    </cfRule>
    <cfRule type="expression" priority="15" dxfId="3" stopIfTrue="1">
      <formula>$K311="Л4"</formula>
    </cfRule>
    <cfRule type="expression" priority="16" dxfId="4" stopIfTrue="1">
      <formula>$K311="Л3"</formula>
    </cfRule>
    <cfRule type="expression" priority="17" dxfId="2" stopIfTrue="1">
      <formula>$K311="Л2"</formula>
    </cfRule>
    <cfRule type="expression" priority="18" dxfId="0" stopIfTrue="1">
      <formula>$K311="Л1"</formula>
    </cfRule>
  </conditionalFormatting>
  <conditionalFormatting sqref="B316:I319 B321:I321 B323:I324 B327:I327 B331:I336">
    <cfRule type="expression" priority="797" dxfId="2" stopIfTrue="1">
      <formula>$K316="Л2"</formula>
    </cfRule>
  </conditionalFormatting>
  <conditionalFormatting sqref="B318:I319 B321:I321 B323:I324 B327:I327 B331:I336">
    <cfRule type="expression" priority="796" dxfId="4" stopIfTrue="1">
      <formula>$K318="Л3"</formula>
    </cfRule>
    <cfRule type="expression" priority="798" dxfId="0" stopIfTrue="1">
      <formula>$K318="Л1"</formula>
    </cfRule>
    <cfRule type="expression" priority="795" dxfId="3" stopIfTrue="1">
      <formula>$K318="Л4"</formula>
    </cfRule>
    <cfRule type="expression" priority="794" dxfId="1" stopIfTrue="1">
      <formula>$K318="Л5"</formula>
    </cfRule>
  </conditionalFormatting>
  <conditionalFormatting sqref="B318:I321">
    <cfRule type="expression" priority="761" dxfId="2" stopIfTrue="1">
      <formula>$K318="Л2"</formula>
    </cfRule>
  </conditionalFormatting>
  <conditionalFormatting sqref="B320:I320">
    <cfRule type="expression" priority="759" dxfId="3" stopIfTrue="1">
      <formula>$K320="Л4"</formula>
    </cfRule>
    <cfRule type="expression" priority="757" dxfId="2" stopIfTrue="1">
      <formula>$K320="Л2"</formula>
    </cfRule>
    <cfRule type="expression" priority="760" dxfId="4" stopIfTrue="1">
      <formula>$K320="Л3"</formula>
    </cfRule>
    <cfRule type="expression" priority="758" dxfId="1" stopIfTrue="1">
      <formula>$K320="Л5"</formula>
    </cfRule>
    <cfRule type="expression" priority="762" dxfId="0" stopIfTrue="1">
      <formula>$K320="Л1"</formula>
    </cfRule>
  </conditionalFormatting>
  <conditionalFormatting sqref="B322:I322">
    <cfRule type="expression" priority="734" dxfId="1" stopIfTrue="1">
      <formula>$K322="Л5"</formula>
    </cfRule>
    <cfRule type="expression" priority="738" dxfId="0" stopIfTrue="1">
      <formula>$K322="Л1"</formula>
    </cfRule>
    <cfRule type="expression" priority="733" dxfId="2" stopIfTrue="1">
      <formula>$K322="Л2"</formula>
    </cfRule>
    <cfRule type="expression" priority="736" dxfId="4" stopIfTrue="1">
      <formula>$K322="Л3"</formula>
    </cfRule>
    <cfRule type="expression" priority="735" dxfId="3" stopIfTrue="1">
      <formula>$K322="Л4"</formula>
    </cfRule>
  </conditionalFormatting>
  <conditionalFormatting sqref="B322:I324">
    <cfRule type="expression" priority="737" dxfId="2" stopIfTrue="1">
      <formula>$K322="Л2"</formula>
    </cfRule>
  </conditionalFormatting>
  <conditionalFormatting sqref="B325:I325">
    <cfRule type="expression" priority="721" dxfId="2" stopIfTrue="1">
      <formula>$K325="Л2"</formula>
    </cfRule>
    <cfRule type="expression" priority="726" dxfId="0" stopIfTrue="1">
      <formula>$K325="Л1"</formula>
    </cfRule>
    <cfRule type="expression" priority="724" dxfId="4" stopIfTrue="1">
      <formula>$K325="Л3"</formula>
    </cfRule>
    <cfRule type="expression" priority="722" dxfId="1" stopIfTrue="1">
      <formula>$K325="Л5"</formula>
    </cfRule>
    <cfRule type="expression" priority="723" dxfId="3" stopIfTrue="1">
      <formula>$K325="Л4"</formula>
    </cfRule>
  </conditionalFormatting>
  <conditionalFormatting sqref="B325:I326">
    <cfRule type="expression" priority="725" dxfId="2" stopIfTrue="1">
      <formula>$K325="Л2"</formula>
    </cfRule>
  </conditionalFormatting>
  <conditionalFormatting sqref="B326:I326">
    <cfRule type="expression" priority="748" dxfId="4" stopIfTrue="1">
      <formula>$K326="Л3"</formula>
    </cfRule>
    <cfRule type="expression" priority="747" dxfId="3" stopIfTrue="1">
      <formula>$K326="Л4"</formula>
    </cfRule>
    <cfRule type="expression" priority="746" dxfId="1" stopIfTrue="1">
      <formula>$K326="Л5"</formula>
    </cfRule>
    <cfRule type="expression" priority="749" dxfId="2" stopIfTrue="1">
      <formula>$K326="Л2"</formula>
    </cfRule>
    <cfRule type="expression" priority="750" dxfId="0" stopIfTrue="1">
      <formula>$K326="Л1"</formula>
    </cfRule>
  </conditionalFormatting>
  <conditionalFormatting sqref="B327:I329">
    <cfRule type="expression" priority="773" dxfId="2" stopIfTrue="1">
      <formula>$K327="Л2"</formula>
    </cfRule>
  </conditionalFormatting>
  <conditionalFormatting sqref="B328:I328">
    <cfRule type="expression" priority="771" dxfId="3" stopIfTrue="1">
      <formula>$K328="Л4"</formula>
    </cfRule>
    <cfRule type="expression" priority="772" dxfId="4" stopIfTrue="1">
      <formula>$K328="Л3"</formula>
    </cfRule>
    <cfRule type="expression" priority="774" dxfId="0" stopIfTrue="1">
      <formula>$K328="Л1"</formula>
    </cfRule>
    <cfRule type="expression" priority="769" dxfId="2" stopIfTrue="1">
      <formula>$K328="Л2"</formula>
    </cfRule>
    <cfRule type="expression" priority="770" dxfId="1" stopIfTrue="1">
      <formula>$K328="Л5"</formula>
    </cfRule>
  </conditionalFormatting>
  <conditionalFormatting sqref="B329:I329">
    <cfRule type="expression" priority="782" dxfId="1" stopIfTrue="1">
      <formula>$K329="Л5"</formula>
    </cfRule>
    <cfRule type="expression" priority="783" dxfId="3" stopIfTrue="1">
      <formula>$K329="Л4"</formula>
    </cfRule>
    <cfRule type="expression" priority="784" dxfId="4" stopIfTrue="1">
      <formula>$K329="Л3"</formula>
    </cfRule>
    <cfRule type="expression" priority="785" dxfId="2" stopIfTrue="1">
      <formula>$K329="Л2"</formula>
    </cfRule>
    <cfRule type="expression" priority="786" dxfId="0" stopIfTrue="1">
      <formula>$K329="Л1"</formula>
    </cfRule>
  </conditionalFormatting>
  <conditionalFormatting sqref="B330:I330">
    <cfRule type="expression" priority="714" dxfId="0" stopIfTrue="1">
      <formula>$K330="Л1"</formula>
    </cfRule>
    <cfRule type="expression" priority="710" dxfId="1" stopIfTrue="1">
      <formula>$K330="Л5"</formula>
    </cfRule>
    <cfRule type="expression" priority="711" dxfId="3" stopIfTrue="1">
      <formula>$K330="Л4"</formula>
    </cfRule>
    <cfRule type="expression" priority="712" dxfId="4" stopIfTrue="1">
      <formula>$K330="Л3"</formula>
    </cfRule>
    <cfRule type="expression" priority="709" dxfId="2" stopIfTrue="1">
      <formula>$K330="Л2"</formula>
    </cfRule>
  </conditionalFormatting>
  <conditionalFormatting sqref="B330:I336">
    <cfRule type="expression" priority="713" dxfId="2" stopIfTrue="1">
      <formula>$K330="Л2"</formula>
    </cfRule>
  </conditionalFormatting>
  <conditionalFormatting sqref="B337:I339 B344:I344 B349:I349 B352:I352 B355:I355 B384:I384 B389:I389 B392:I392 B399:I399 B402:I402 B405:I407">
    <cfRule type="expression" priority="701" dxfId="2" stopIfTrue="1">
      <formula>$K337="Л2"</formula>
    </cfRule>
    <cfRule type="expression" priority="699" dxfId="3" stopIfTrue="1">
      <formula>$K337="Л4"</formula>
    </cfRule>
    <cfRule type="expression" priority="700" dxfId="4" stopIfTrue="1">
      <formula>$K337="Л3"</formula>
    </cfRule>
    <cfRule type="expression" priority="702" dxfId="0" stopIfTrue="1">
      <formula>$K337="Л1"</formula>
    </cfRule>
    <cfRule type="expression" priority="698" dxfId="1" stopIfTrue="1">
      <formula>$K337="Л5"</formula>
    </cfRule>
  </conditionalFormatting>
  <conditionalFormatting sqref="B337:I341">
    <cfRule type="expression" priority="653" dxfId="2" stopIfTrue="1">
      <formula>$K337="Л2"</formula>
    </cfRule>
  </conditionalFormatting>
  <conditionalFormatting sqref="B340:I340">
    <cfRule type="expression" priority="651" dxfId="3" stopIfTrue="1">
      <formula>$K340="Л4"</formula>
    </cfRule>
    <cfRule type="expression" priority="654" dxfId="0" stopIfTrue="1">
      <formula>$K340="Л1"</formula>
    </cfRule>
    <cfRule type="expression" priority="650" dxfId="1" stopIfTrue="1">
      <formula>$K340="Л5"</formula>
    </cfRule>
    <cfRule type="expression" priority="652" dxfId="4" stopIfTrue="1">
      <formula>$K340="Л3"</formula>
    </cfRule>
    <cfRule type="expression" priority="649" dxfId="2" stopIfTrue="1">
      <formula>$K340="Л2"</formula>
    </cfRule>
  </conditionalFormatting>
  <conditionalFormatting sqref="B341:I341">
    <cfRule type="expression" priority="666" dxfId="0" stopIfTrue="1">
      <formula>$K341="Л1"</formula>
    </cfRule>
    <cfRule type="expression" priority="664" dxfId="4" stopIfTrue="1">
      <formula>$K341="Л3"</formula>
    </cfRule>
    <cfRule type="expression" priority="662" dxfId="1" stopIfTrue="1">
      <formula>$K341="Л5"</formula>
    </cfRule>
    <cfRule type="expression" priority="663" dxfId="3" stopIfTrue="1">
      <formula>$K341="Л4"</formula>
    </cfRule>
  </conditionalFormatting>
  <conditionalFormatting sqref="B341:I342">
    <cfRule type="expression" priority="665" dxfId="2" stopIfTrue="1">
      <formula>$K341="Л2"</formula>
    </cfRule>
  </conditionalFormatting>
  <conditionalFormatting sqref="B342:I342">
    <cfRule type="expression" priority="676" dxfId="4" stopIfTrue="1">
      <formula>$K342="Л3"</formula>
    </cfRule>
    <cfRule type="expression" priority="678" dxfId="0" stopIfTrue="1">
      <formula>$K342="Л1"</formula>
    </cfRule>
    <cfRule type="expression" priority="675" dxfId="3" stopIfTrue="1">
      <formula>$K342="Л4"</formula>
    </cfRule>
    <cfRule type="expression" priority="674" dxfId="1" stopIfTrue="1">
      <formula>$K342="Л5"</formula>
    </cfRule>
  </conditionalFormatting>
  <conditionalFormatting sqref="B342:I343">
    <cfRule type="expression" priority="677" dxfId="2" stopIfTrue="1">
      <formula>$K342="Л2"</formula>
    </cfRule>
  </conditionalFormatting>
  <conditionalFormatting sqref="B343:I343">
    <cfRule type="expression" priority="688" dxfId="4" stopIfTrue="1">
      <formula>$K343="Л3"</formula>
    </cfRule>
    <cfRule type="expression" priority="687" dxfId="3" stopIfTrue="1">
      <formula>$K343="Л4"</formula>
    </cfRule>
    <cfRule type="expression" priority="686" dxfId="1" stopIfTrue="1">
      <formula>$K343="Л5"</formula>
    </cfRule>
    <cfRule type="expression" priority="690" dxfId="0" stopIfTrue="1">
      <formula>$K343="Л1"</formula>
    </cfRule>
  </conditionalFormatting>
  <conditionalFormatting sqref="B343:I344">
    <cfRule type="expression" priority="689" dxfId="2" stopIfTrue="1">
      <formula>$K343="Л2"</formula>
    </cfRule>
  </conditionalFormatting>
  <conditionalFormatting sqref="B345:I345">
    <cfRule type="expression" priority="601" dxfId="2" stopIfTrue="1">
      <formula>$K345="Л2"</formula>
    </cfRule>
    <cfRule type="expression" priority="602" dxfId="1" stopIfTrue="1">
      <formula>$K345="Л5"</formula>
    </cfRule>
    <cfRule type="expression" priority="603" dxfId="3" stopIfTrue="1">
      <formula>$K345="Л4"</formula>
    </cfRule>
    <cfRule type="expression" priority="604" dxfId="4" stopIfTrue="1">
      <formula>$K345="Л3"</formula>
    </cfRule>
    <cfRule type="expression" priority="606" dxfId="0" stopIfTrue="1">
      <formula>$K345="Л1"</formula>
    </cfRule>
  </conditionalFormatting>
  <conditionalFormatting sqref="B345:I346">
    <cfRule type="expression" priority="605" dxfId="2" stopIfTrue="1">
      <formula>$K345="Л2"</formula>
    </cfRule>
  </conditionalFormatting>
  <conditionalFormatting sqref="B346:I346">
    <cfRule type="expression" priority="614" dxfId="1" stopIfTrue="1">
      <formula>$K346="Л5"</formula>
    </cfRule>
    <cfRule type="expression" priority="615" dxfId="3" stopIfTrue="1">
      <formula>$K346="Л4"</formula>
    </cfRule>
    <cfRule type="expression" priority="616" dxfId="4" stopIfTrue="1">
      <formula>$K346="Л3"</formula>
    </cfRule>
    <cfRule type="expression" priority="618" dxfId="0" stopIfTrue="1">
      <formula>$K346="Л1"</formula>
    </cfRule>
  </conditionalFormatting>
  <conditionalFormatting sqref="B346:I347">
    <cfRule type="expression" priority="617" dxfId="2" stopIfTrue="1">
      <formula>$K346="Л2"</formula>
    </cfRule>
  </conditionalFormatting>
  <conditionalFormatting sqref="B347:I347">
    <cfRule type="expression" priority="630" dxfId="0" stopIfTrue="1">
      <formula>$K347="Л1"</formula>
    </cfRule>
    <cfRule type="expression" priority="626" dxfId="1" stopIfTrue="1">
      <formula>$K347="Л5"</formula>
    </cfRule>
    <cfRule type="expression" priority="628" dxfId="4" stopIfTrue="1">
      <formula>$K347="Л3"</formula>
    </cfRule>
    <cfRule type="expression" priority="627" dxfId="3" stopIfTrue="1">
      <formula>$K347="Л4"</formula>
    </cfRule>
  </conditionalFormatting>
  <conditionalFormatting sqref="B347:I348">
    <cfRule type="expression" priority="629" dxfId="2" stopIfTrue="1">
      <formula>$K347="Л2"</formula>
    </cfRule>
  </conditionalFormatting>
  <conditionalFormatting sqref="B348:I348">
    <cfRule type="expression" priority="642" dxfId="0" stopIfTrue="1">
      <formula>$K348="Л1"</formula>
    </cfRule>
    <cfRule type="expression" priority="640" dxfId="4" stopIfTrue="1">
      <formula>$K348="Л3"</formula>
    </cfRule>
    <cfRule type="expression" priority="639" dxfId="3" stopIfTrue="1">
      <formula>$K348="Л4"</formula>
    </cfRule>
    <cfRule type="expression" priority="638" dxfId="1" stopIfTrue="1">
      <formula>$K348="Л5"</formula>
    </cfRule>
  </conditionalFormatting>
  <conditionalFormatting sqref="B348:I349">
    <cfRule type="expression" priority="641" dxfId="2" stopIfTrue="1">
      <formula>$K348="Л2"</formula>
    </cfRule>
  </conditionalFormatting>
  <conditionalFormatting sqref="B350:I350">
    <cfRule type="expression" priority="579" dxfId="3" stopIfTrue="1">
      <formula>$K350="Л4"</formula>
    </cfRule>
    <cfRule type="expression" priority="580" dxfId="4" stopIfTrue="1">
      <formula>$K350="Л3"</formula>
    </cfRule>
    <cfRule type="expression" priority="582" dxfId="0" stopIfTrue="1">
      <formula>$K350="Л1"</formula>
    </cfRule>
    <cfRule type="expression" priority="578" dxfId="1" stopIfTrue="1">
      <formula>$K350="Л5"</formula>
    </cfRule>
    <cfRule type="expression" priority="577" dxfId="2" stopIfTrue="1">
      <formula>$K350="Л2"</formula>
    </cfRule>
  </conditionalFormatting>
  <conditionalFormatting sqref="B350:I351">
    <cfRule type="expression" priority="581" dxfId="2" stopIfTrue="1">
      <formula>$K350="Л2"</formula>
    </cfRule>
  </conditionalFormatting>
  <conditionalFormatting sqref="B351:I351">
    <cfRule type="expression" priority="590" dxfId="1" stopIfTrue="1">
      <formula>$K351="Л5"</formula>
    </cfRule>
    <cfRule type="expression" priority="591" dxfId="3" stopIfTrue="1">
      <formula>$K351="Л4"</formula>
    </cfRule>
    <cfRule type="expression" priority="592" dxfId="4" stopIfTrue="1">
      <formula>$K351="Л3"</formula>
    </cfRule>
    <cfRule type="expression" priority="594" dxfId="0" stopIfTrue="1">
      <formula>$K351="Л1"</formula>
    </cfRule>
  </conditionalFormatting>
  <conditionalFormatting sqref="B351:I352">
    <cfRule type="expression" priority="593" dxfId="2" stopIfTrue="1">
      <formula>$K351="Л2"</formula>
    </cfRule>
  </conditionalFormatting>
  <conditionalFormatting sqref="B353:I353">
    <cfRule type="expression" priority="553" dxfId="2" stopIfTrue="1">
      <formula>$K353="Л2"</formula>
    </cfRule>
    <cfRule type="expression" priority="558" dxfId="0" stopIfTrue="1">
      <formula>$K353="Л1"</formula>
    </cfRule>
    <cfRule type="expression" priority="556" dxfId="4" stopIfTrue="1">
      <formula>$K353="Л3"</formula>
    </cfRule>
    <cfRule type="expression" priority="555" dxfId="3" stopIfTrue="1">
      <formula>$K353="Л4"</formula>
    </cfRule>
    <cfRule type="expression" priority="554" dxfId="1" stopIfTrue="1">
      <formula>$K353="Л5"</formula>
    </cfRule>
  </conditionalFormatting>
  <conditionalFormatting sqref="B353:I354">
    <cfRule type="expression" priority="557" dxfId="2" stopIfTrue="1">
      <formula>$K353="Л2"</formula>
    </cfRule>
  </conditionalFormatting>
  <conditionalFormatting sqref="B354:I354">
    <cfRule type="expression" priority="570" dxfId="0" stopIfTrue="1">
      <formula>$K354="Л1"</formula>
    </cfRule>
    <cfRule type="expression" priority="568" dxfId="4" stopIfTrue="1">
      <formula>$K354="Л3"</formula>
    </cfRule>
    <cfRule type="expression" priority="567" dxfId="3" stopIfTrue="1">
      <formula>$K354="Л4"</formula>
    </cfRule>
    <cfRule type="expression" priority="566" dxfId="1" stopIfTrue="1">
      <formula>$K354="Л5"</formula>
    </cfRule>
  </conditionalFormatting>
  <conditionalFormatting sqref="B354:I355">
    <cfRule type="expression" priority="569" dxfId="2" stopIfTrue="1">
      <formula>$K354="Л2"</formula>
    </cfRule>
  </conditionalFormatting>
  <conditionalFormatting sqref="B356:I356">
    <cfRule type="expression" priority="145" dxfId="2" stopIfTrue="1">
      <formula>$K356="Л2"</formula>
    </cfRule>
    <cfRule type="expression" priority="146" dxfId="1" stopIfTrue="1">
      <formula>$K356="Л5"</formula>
    </cfRule>
    <cfRule type="expression" priority="147" dxfId="3" stopIfTrue="1">
      <formula>$K356="Л4"</formula>
    </cfRule>
    <cfRule type="expression" priority="150" dxfId="0" stopIfTrue="1">
      <formula>$K356="Л1"</formula>
    </cfRule>
    <cfRule type="expression" priority="148" dxfId="4" stopIfTrue="1">
      <formula>$K356="Л3"</formula>
    </cfRule>
  </conditionalFormatting>
  <conditionalFormatting sqref="B356:I357">
    <cfRule type="expression" priority="149" dxfId="2" stopIfTrue="1">
      <formula>$K356="Л2"</formula>
    </cfRule>
  </conditionalFormatting>
  <conditionalFormatting sqref="B357:I357">
    <cfRule type="expression" priority="158" dxfId="1" stopIfTrue="1">
      <formula>$K357="Л5"</formula>
    </cfRule>
    <cfRule type="expression" priority="159" dxfId="3" stopIfTrue="1">
      <formula>$K357="Л4"</formula>
    </cfRule>
    <cfRule type="expression" priority="160" dxfId="4" stopIfTrue="1">
      <formula>$K357="Л3"</formula>
    </cfRule>
    <cfRule type="expression" priority="161" dxfId="2" stopIfTrue="1">
      <formula>$K357="Л2"</formula>
    </cfRule>
    <cfRule type="expression" priority="162" dxfId="0" stopIfTrue="1">
      <formula>$K357="Л1"</formula>
    </cfRule>
  </conditionalFormatting>
  <conditionalFormatting sqref="B358:I358">
    <cfRule type="expression" priority="122" dxfId="1" stopIfTrue="1">
      <formula>$K358="Л5"</formula>
    </cfRule>
    <cfRule type="expression" priority="124" dxfId="4" stopIfTrue="1">
      <formula>$K358="Л3"</formula>
    </cfRule>
    <cfRule type="expression" priority="123" dxfId="3" stopIfTrue="1">
      <formula>$K358="Л4"</formula>
    </cfRule>
    <cfRule type="expression" priority="126" dxfId="0" stopIfTrue="1">
      <formula>$K358="Л1"</formula>
    </cfRule>
    <cfRule type="expression" priority="121" dxfId="2" stopIfTrue="1">
      <formula>$K358="Л2"</formula>
    </cfRule>
  </conditionalFormatting>
  <conditionalFormatting sqref="B358:I359">
    <cfRule type="expression" priority="125" dxfId="2" stopIfTrue="1">
      <formula>$K358="Л2"</formula>
    </cfRule>
  </conditionalFormatting>
  <conditionalFormatting sqref="B359:I359">
    <cfRule type="expression" priority="135" dxfId="3" stopIfTrue="1">
      <formula>$K359="Л4"</formula>
    </cfRule>
    <cfRule type="expression" priority="134" dxfId="1" stopIfTrue="1">
      <formula>$K359="Л5"</formula>
    </cfRule>
    <cfRule type="expression" priority="136" dxfId="4" stopIfTrue="1">
      <formula>$K359="Л3"</formula>
    </cfRule>
    <cfRule type="expression" priority="138" dxfId="0" stopIfTrue="1">
      <formula>$K359="Л1"</formula>
    </cfRule>
  </conditionalFormatting>
  <conditionalFormatting sqref="B359:I360">
    <cfRule type="expression" priority="137" dxfId="2" stopIfTrue="1">
      <formula>$K359="Л2"</formula>
    </cfRule>
  </conditionalFormatting>
  <conditionalFormatting sqref="B360:I360">
    <cfRule type="expression" priority="173" dxfId="2" stopIfTrue="1">
      <formula>$K360="Л2"</formula>
    </cfRule>
    <cfRule type="expression" priority="172" dxfId="4" stopIfTrue="1">
      <formula>$K360="Л3"</formula>
    </cfRule>
    <cfRule type="expression" priority="171" dxfId="3" stopIfTrue="1">
      <formula>$K360="Л4"</formula>
    </cfRule>
    <cfRule type="expression" priority="170" dxfId="1" stopIfTrue="1">
      <formula>$K360="Л5"</formula>
    </cfRule>
    <cfRule type="expression" priority="174" dxfId="0" stopIfTrue="1">
      <formula>$K360="Л1"</formula>
    </cfRule>
  </conditionalFormatting>
  <conditionalFormatting sqref="B361:I361">
    <cfRule type="expression" priority="54" dxfId="0" stopIfTrue="1">
      <formula>$K361="Л1"</formula>
    </cfRule>
    <cfRule type="expression" priority="52" dxfId="4" stopIfTrue="1">
      <formula>$K361="Л3"</formula>
    </cfRule>
    <cfRule type="expression" priority="51" dxfId="3" stopIfTrue="1">
      <formula>$K361="Л4"</formula>
    </cfRule>
    <cfRule type="expression" priority="50" dxfId="1" stopIfTrue="1">
      <formula>$K361="Л5"</formula>
    </cfRule>
    <cfRule type="expression" priority="49" dxfId="2" stopIfTrue="1">
      <formula>$K361="Л2"</formula>
    </cfRule>
  </conditionalFormatting>
  <conditionalFormatting sqref="B361:I362">
    <cfRule type="expression" priority="53" dxfId="2" stopIfTrue="1">
      <formula>$K361="Л2"</formula>
    </cfRule>
  </conditionalFormatting>
  <conditionalFormatting sqref="B362:I362">
    <cfRule type="expression" priority="64" dxfId="4" stopIfTrue="1">
      <formula>$K362="Л3"</formula>
    </cfRule>
    <cfRule type="expression" priority="62" dxfId="1" stopIfTrue="1">
      <formula>$K362="Л5"</formula>
    </cfRule>
    <cfRule type="expression" priority="63" dxfId="3" stopIfTrue="1">
      <formula>$K362="Л4"</formula>
    </cfRule>
    <cfRule type="expression" priority="65" dxfId="2" stopIfTrue="1">
      <formula>$K362="Л2"</formula>
    </cfRule>
    <cfRule type="expression" priority="66" dxfId="0" stopIfTrue="1">
      <formula>$K362="Л1"</formula>
    </cfRule>
  </conditionalFormatting>
  <conditionalFormatting sqref="B363:I363">
    <cfRule type="expression" priority="28" dxfId="4" stopIfTrue="1">
      <formula>$K363="Л3"</formula>
    </cfRule>
    <cfRule type="expression" priority="27" dxfId="3" stopIfTrue="1">
      <formula>$K363="Л4"</formula>
    </cfRule>
    <cfRule type="expression" priority="26" dxfId="1" stopIfTrue="1">
      <formula>$K363="Л5"</formula>
    </cfRule>
    <cfRule type="expression" priority="25" dxfId="2" stopIfTrue="1">
      <formula>$K363="Л2"</formula>
    </cfRule>
    <cfRule type="expression" priority="30" dxfId="0" stopIfTrue="1">
      <formula>$K363="Л1"</formula>
    </cfRule>
  </conditionalFormatting>
  <conditionalFormatting sqref="B363:I364">
    <cfRule type="expression" priority="29" dxfId="2" stopIfTrue="1">
      <formula>$K363="Л2"</formula>
    </cfRule>
  </conditionalFormatting>
  <conditionalFormatting sqref="B364:I364">
    <cfRule type="expression" priority="40" dxfId="4" stopIfTrue="1">
      <formula>$K364="Л3"</formula>
    </cfRule>
    <cfRule type="expression" priority="38" dxfId="1" stopIfTrue="1">
      <formula>$K364="Л5"</formula>
    </cfRule>
    <cfRule type="expression" priority="39" dxfId="3" stopIfTrue="1">
      <formula>$K364="Л4"</formula>
    </cfRule>
    <cfRule type="expression" priority="42" dxfId="0" stopIfTrue="1">
      <formula>$K364="Л1"</formula>
    </cfRule>
  </conditionalFormatting>
  <conditionalFormatting sqref="B364:I365">
    <cfRule type="expression" priority="41" dxfId="2" stopIfTrue="1">
      <formula>$K364="Л2"</formula>
    </cfRule>
  </conditionalFormatting>
  <conditionalFormatting sqref="B365:I365">
    <cfRule type="expression" priority="74" dxfId="1" stopIfTrue="1">
      <formula>$K365="Л5"</formula>
    </cfRule>
    <cfRule type="expression" priority="75" dxfId="3" stopIfTrue="1">
      <formula>$K365="Л4"</formula>
    </cfRule>
    <cfRule type="expression" priority="76" dxfId="4" stopIfTrue="1">
      <formula>$K365="Л3"</formula>
    </cfRule>
    <cfRule type="expression" priority="78" dxfId="0" stopIfTrue="1">
      <formula>$K365="Л1"</formula>
    </cfRule>
  </conditionalFormatting>
  <conditionalFormatting sqref="B365:I366">
    <cfRule type="expression" priority="77" dxfId="2" stopIfTrue="1">
      <formula>$K365="Л2"</formula>
    </cfRule>
  </conditionalFormatting>
  <conditionalFormatting sqref="B366:I366">
    <cfRule type="expression" priority="98" dxfId="1" stopIfTrue="1">
      <formula>$K366="Л5"</formula>
    </cfRule>
    <cfRule type="expression" priority="99" dxfId="3" stopIfTrue="1">
      <formula>$K366="Л4"</formula>
    </cfRule>
    <cfRule type="expression" priority="100" dxfId="4" stopIfTrue="1">
      <formula>$K366="Л3"</formula>
    </cfRule>
    <cfRule type="expression" priority="102" dxfId="0" stopIfTrue="1">
      <formula>$K366="Л1"</formula>
    </cfRule>
  </conditionalFormatting>
  <conditionalFormatting sqref="B366:I367">
    <cfRule type="expression" priority="101" dxfId="2" stopIfTrue="1">
      <formula>$K366="Л2"</formula>
    </cfRule>
  </conditionalFormatting>
  <conditionalFormatting sqref="B367:I367">
    <cfRule type="expression" priority="110" dxfId="1" stopIfTrue="1">
      <formula>$K367="Л5"</formula>
    </cfRule>
    <cfRule type="expression" priority="111" dxfId="3" stopIfTrue="1">
      <formula>$K367="Л4"</formula>
    </cfRule>
    <cfRule type="expression" priority="112" dxfId="4" stopIfTrue="1">
      <formula>$K367="Л3"</formula>
    </cfRule>
    <cfRule type="expression" priority="113" dxfId="2" stopIfTrue="1">
      <formula>$K367="Л2"</formula>
    </cfRule>
    <cfRule type="expression" priority="114" dxfId="0" stopIfTrue="1">
      <formula>$K367="Л1"</formula>
    </cfRule>
  </conditionalFormatting>
  <conditionalFormatting sqref="B368:I368">
    <cfRule type="expression" priority="85" dxfId="2" stopIfTrue="1">
      <formula>$K368="Л2"</formula>
    </cfRule>
    <cfRule type="expression" priority="90" dxfId="0" stopIfTrue="1">
      <formula>$K368="Л1"</formula>
    </cfRule>
    <cfRule type="expression" priority="87" dxfId="3" stopIfTrue="1">
      <formula>$K368="Л4"</formula>
    </cfRule>
    <cfRule type="expression" priority="88" dxfId="4" stopIfTrue="1">
      <formula>$K368="Л3"</formula>
    </cfRule>
    <cfRule type="expression" priority="86" dxfId="1" stopIfTrue="1">
      <formula>$K368="Л5"</formula>
    </cfRule>
  </conditionalFormatting>
  <conditionalFormatting sqref="B368:I369">
    <cfRule type="expression" priority="89" dxfId="2" stopIfTrue="1">
      <formula>$K368="Л2"</formula>
    </cfRule>
  </conditionalFormatting>
  <conditionalFormatting sqref="B369:I369">
    <cfRule type="expression" priority="206" dxfId="1" stopIfTrue="1">
      <formula>$K369="Л5"</formula>
    </cfRule>
    <cfRule type="expression" priority="210" dxfId="0" stopIfTrue="1">
      <formula>$K369="Л1"</formula>
    </cfRule>
    <cfRule type="expression" priority="207" dxfId="3" stopIfTrue="1">
      <formula>$K369="Л4"</formula>
    </cfRule>
    <cfRule type="expression" priority="208" dxfId="4" stopIfTrue="1">
      <formula>$K369="Л3"</formula>
    </cfRule>
  </conditionalFormatting>
  <conditionalFormatting sqref="B369:I370">
    <cfRule type="expression" priority="209" dxfId="2" stopIfTrue="1">
      <formula>$K369="Л2"</formula>
    </cfRule>
  </conditionalFormatting>
  <conditionalFormatting sqref="B370:I370">
    <cfRule type="expression" priority="218" dxfId="1" stopIfTrue="1">
      <formula>$K370="Л5"</formula>
    </cfRule>
    <cfRule type="expression" priority="219" dxfId="3" stopIfTrue="1">
      <formula>$K370="Л4"</formula>
    </cfRule>
    <cfRule type="expression" priority="220" dxfId="4" stopIfTrue="1">
      <formula>$K370="Л3"</formula>
    </cfRule>
    <cfRule type="expression" priority="221" dxfId="2" stopIfTrue="1">
      <formula>$K370="Л2"</formula>
    </cfRule>
    <cfRule type="expression" priority="222" dxfId="0" stopIfTrue="1">
      <formula>$K370="Л1"</formula>
    </cfRule>
  </conditionalFormatting>
  <conditionalFormatting sqref="B371:I371">
    <cfRule type="expression" priority="186" dxfId="0" stopIfTrue="1">
      <formula>$K371="Л1"</formula>
    </cfRule>
    <cfRule type="expression" priority="184" dxfId="4" stopIfTrue="1">
      <formula>$K371="Л3"</formula>
    </cfRule>
    <cfRule type="expression" priority="183" dxfId="3" stopIfTrue="1">
      <formula>$K371="Л4"</formula>
    </cfRule>
    <cfRule type="expression" priority="182" dxfId="1" stopIfTrue="1">
      <formula>$K371="Л5"</formula>
    </cfRule>
    <cfRule type="expression" priority="181" dxfId="2" stopIfTrue="1">
      <formula>$K371="Л2"</formula>
    </cfRule>
  </conditionalFormatting>
  <conditionalFormatting sqref="B371:I372">
    <cfRule type="expression" priority="185" dxfId="2" stopIfTrue="1">
      <formula>$K371="Л2"</formula>
    </cfRule>
  </conditionalFormatting>
  <conditionalFormatting sqref="B372:I372">
    <cfRule type="expression" priority="198" dxfId="0" stopIfTrue="1">
      <formula>$K372="Л1"</formula>
    </cfRule>
    <cfRule type="expression" priority="194" dxfId="1" stopIfTrue="1">
      <formula>$K372="Л5"</formula>
    </cfRule>
    <cfRule type="expression" priority="195" dxfId="3" stopIfTrue="1">
      <formula>$K372="Л4"</formula>
    </cfRule>
    <cfRule type="expression" priority="196" dxfId="4" stopIfTrue="1">
      <formula>$K372="Л3"</formula>
    </cfRule>
  </conditionalFormatting>
  <conditionalFormatting sqref="B372:I373">
    <cfRule type="expression" priority="197" dxfId="2" stopIfTrue="1">
      <formula>$K372="Л2"</formula>
    </cfRule>
  </conditionalFormatting>
  <conditionalFormatting sqref="B373:I373">
    <cfRule type="expression" priority="230" dxfId="1" stopIfTrue="1">
      <formula>$K373="Л5"</formula>
    </cfRule>
    <cfRule type="expression" priority="231" dxfId="3" stopIfTrue="1">
      <formula>$K373="Л4"</formula>
    </cfRule>
    <cfRule type="expression" priority="232" dxfId="4" stopIfTrue="1">
      <formula>$K373="Л3"</formula>
    </cfRule>
    <cfRule type="expression" priority="234" dxfId="0" stopIfTrue="1">
      <formula>$K373="Л1"</formula>
    </cfRule>
  </conditionalFormatting>
  <conditionalFormatting sqref="B373:I374">
    <cfRule type="expression" priority="233" dxfId="2" stopIfTrue="1">
      <formula>$K373="Л2"</formula>
    </cfRule>
  </conditionalFormatting>
  <conditionalFormatting sqref="B374:I374">
    <cfRule type="expression" priority="266" dxfId="1" stopIfTrue="1">
      <formula>$K374="Л5"</formula>
    </cfRule>
    <cfRule type="expression" priority="267" dxfId="3" stopIfTrue="1">
      <formula>$K374="Л4"</formula>
    </cfRule>
    <cfRule type="expression" priority="268" dxfId="4" stopIfTrue="1">
      <formula>$K374="Л3"</formula>
    </cfRule>
    <cfRule type="expression" priority="270" dxfId="0" stopIfTrue="1">
      <formula>$K374="Л1"</formula>
    </cfRule>
  </conditionalFormatting>
  <conditionalFormatting sqref="B374:I375">
    <cfRule type="expression" priority="269" dxfId="2" stopIfTrue="1">
      <formula>$K374="Л2"</formula>
    </cfRule>
  </conditionalFormatting>
  <conditionalFormatting sqref="B375:I375">
    <cfRule type="expression" priority="282" dxfId="0" stopIfTrue="1">
      <formula>$K375="Л1"</formula>
    </cfRule>
    <cfRule type="expression" priority="281" dxfId="2" stopIfTrue="1">
      <formula>$K375="Л2"</formula>
    </cfRule>
    <cfRule type="expression" priority="280" dxfId="4" stopIfTrue="1">
      <formula>$K375="Л3"</formula>
    </cfRule>
    <cfRule type="expression" priority="279" dxfId="3" stopIfTrue="1">
      <formula>$K375="Л4"</formula>
    </cfRule>
    <cfRule type="expression" priority="278" dxfId="1" stopIfTrue="1">
      <formula>$K375="Л5"</formula>
    </cfRule>
  </conditionalFormatting>
  <conditionalFormatting sqref="B376:I376">
    <cfRule type="expression" priority="246" dxfId="0" stopIfTrue="1">
      <formula>$K376="Л1"</formula>
    </cfRule>
    <cfRule type="expression" priority="242" dxfId="1" stopIfTrue="1">
      <formula>$K376="Л5"</formula>
    </cfRule>
    <cfRule type="expression" priority="243" dxfId="3" stopIfTrue="1">
      <formula>$K376="Л4"</formula>
    </cfRule>
    <cfRule type="expression" priority="244" dxfId="4" stopIfTrue="1">
      <formula>$K376="Л3"</formula>
    </cfRule>
    <cfRule type="expression" priority="241" dxfId="2" stopIfTrue="1">
      <formula>$K376="Л2"</formula>
    </cfRule>
  </conditionalFormatting>
  <conditionalFormatting sqref="B376:I377">
    <cfRule type="expression" priority="245" dxfId="2" stopIfTrue="1">
      <formula>$K376="Л2"</formula>
    </cfRule>
  </conditionalFormatting>
  <conditionalFormatting sqref="B377:I377">
    <cfRule type="expression" priority="255" dxfId="3" stopIfTrue="1">
      <formula>$K377="Л4"</formula>
    </cfRule>
    <cfRule type="expression" priority="258" dxfId="0" stopIfTrue="1">
      <formula>$K377="Л1"</formula>
    </cfRule>
    <cfRule type="expression" priority="256" dxfId="4" stopIfTrue="1">
      <formula>$K377="Л3"</formula>
    </cfRule>
    <cfRule type="expression" priority="254" dxfId="1" stopIfTrue="1">
      <formula>$K377="Л5"</formula>
    </cfRule>
  </conditionalFormatting>
  <conditionalFormatting sqref="B377:I378">
    <cfRule type="expression" priority="257" dxfId="2" stopIfTrue="1">
      <formula>$K377="Л2"</formula>
    </cfRule>
  </conditionalFormatting>
  <conditionalFormatting sqref="B378:I378">
    <cfRule type="expression" priority="293" dxfId="2" stopIfTrue="1">
      <formula>$K378="Л2"</formula>
    </cfRule>
    <cfRule type="expression" priority="292" dxfId="4" stopIfTrue="1">
      <formula>$K378="Л3"</formula>
    </cfRule>
    <cfRule type="expression" priority="291" dxfId="3" stopIfTrue="1">
      <formula>$K378="Л4"</formula>
    </cfRule>
    <cfRule type="expression" priority="290" dxfId="1" stopIfTrue="1">
      <formula>$K378="Л5"</formula>
    </cfRule>
    <cfRule type="expression" priority="294" dxfId="0" stopIfTrue="1">
      <formula>$K378="Л1"</formula>
    </cfRule>
  </conditionalFormatting>
  <conditionalFormatting sqref="B379:I379">
    <cfRule type="expression" priority="377" dxfId="2" stopIfTrue="1">
      <formula>$K379="Л2"</formula>
    </cfRule>
    <cfRule type="expression" priority="378" dxfId="0" stopIfTrue="1">
      <formula>$K379="Л1"</formula>
    </cfRule>
    <cfRule type="expression" priority="374" dxfId="1" stopIfTrue="1">
      <formula>$K379="Л5"</formula>
    </cfRule>
    <cfRule type="expression" priority="375" dxfId="3" stopIfTrue="1">
      <formula>$K379="Л4"</formula>
    </cfRule>
    <cfRule type="expression" priority="376" dxfId="4" stopIfTrue="1">
      <formula>$K379="Л3"</formula>
    </cfRule>
  </conditionalFormatting>
  <conditionalFormatting sqref="B379:I381">
    <cfRule type="expression" priority="353" dxfId="2" stopIfTrue="1">
      <formula>$K379="Л2"</formula>
    </cfRule>
  </conditionalFormatting>
  <conditionalFormatting sqref="B380:I380">
    <cfRule type="expression" priority="352" dxfId="4" stopIfTrue="1">
      <formula>$K380="Л3"</formula>
    </cfRule>
    <cfRule type="expression" priority="351" dxfId="3" stopIfTrue="1">
      <formula>$K380="Л4"</formula>
    </cfRule>
    <cfRule type="expression" priority="354" dxfId="0" stopIfTrue="1">
      <formula>$K380="Л1"</formula>
    </cfRule>
    <cfRule type="expression" priority="350" dxfId="1" stopIfTrue="1">
      <formula>$K380="Л5"</formula>
    </cfRule>
    <cfRule type="expression" priority="349" dxfId="2" stopIfTrue="1">
      <formula>$K380="Л2"</formula>
    </cfRule>
  </conditionalFormatting>
  <conditionalFormatting sqref="B381:I381">
    <cfRule type="expression" priority="363" dxfId="3" stopIfTrue="1">
      <formula>$K381="Л4"</formula>
    </cfRule>
    <cfRule type="expression" priority="366" dxfId="0" stopIfTrue="1">
      <formula>$K381="Л1"</formula>
    </cfRule>
    <cfRule type="expression" priority="362" dxfId="1" stopIfTrue="1">
      <formula>$K381="Л5"</formula>
    </cfRule>
    <cfRule type="expression" priority="364" dxfId="4" stopIfTrue="1">
      <formula>$K381="Л3"</formula>
    </cfRule>
  </conditionalFormatting>
  <conditionalFormatting sqref="B381:I382">
    <cfRule type="expression" priority="365" dxfId="2" stopIfTrue="1">
      <formula>$K381="Л2"</formula>
    </cfRule>
  </conditionalFormatting>
  <conditionalFormatting sqref="B382:I382">
    <cfRule type="expression" priority="386" dxfId="1" stopIfTrue="1">
      <formula>$K382="Л5"</formula>
    </cfRule>
    <cfRule type="expression" priority="387" dxfId="3" stopIfTrue="1">
      <formula>$K382="Л4"</formula>
    </cfRule>
    <cfRule type="expression" priority="388" dxfId="4" stopIfTrue="1">
      <formula>$K382="Л3"</formula>
    </cfRule>
    <cfRule type="expression" priority="390" dxfId="0" stopIfTrue="1">
      <formula>$K382="Л1"</formula>
    </cfRule>
  </conditionalFormatting>
  <conditionalFormatting sqref="B382:I383">
    <cfRule type="expression" priority="389" dxfId="2" stopIfTrue="1">
      <formula>$K382="Л2"</formula>
    </cfRule>
  </conditionalFormatting>
  <conditionalFormatting sqref="B383:I383">
    <cfRule type="expression" priority="402" dxfId="0" stopIfTrue="1">
      <formula>$K383="Л1"</formula>
    </cfRule>
    <cfRule type="expression" priority="398" dxfId="1" stopIfTrue="1">
      <formula>$K383="Л5"</formula>
    </cfRule>
    <cfRule type="expression" priority="399" dxfId="3" stopIfTrue="1">
      <formula>$K383="Л4"</formula>
    </cfRule>
    <cfRule type="expression" priority="400" dxfId="4" stopIfTrue="1">
      <formula>$K383="Л3"</formula>
    </cfRule>
  </conditionalFormatting>
  <conditionalFormatting sqref="B383:I384">
    <cfRule type="expression" priority="401" dxfId="2" stopIfTrue="1">
      <formula>$K383="Л2"</formula>
    </cfRule>
  </conditionalFormatting>
  <conditionalFormatting sqref="B385:I385">
    <cfRule type="expression" priority="306" dxfId="0" stopIfTrue="1">
      <formula>$K385="Л1"</formula>
    </cfRule>
    <cfRule type="expression" priority="301" dxfId="2" stopIfTrue="1">
      <formula>$K385="Л2"</formula>
    </cfRule>
    <cfRule type="expression" priority="304" dxfId="4" stopIfTrue="1">
      <formula>$K385="Л3"</formula>
    </cfRule>
    <cfRule type="expression" priority="303" dxfId="3" stopIfTrue="1">
      <formula>$K385="Л4"</formula>
    </cfRule>
    <cfRule type="expression" priority="302" dxfId="1" stopIfTrue="1">
      <formula>$K385="Л5"</formula>
    </cfRule>
  </conditionalFormatting>
  <conditionalFormatting sqref="B385:I386">
    <cfRule type="expression" priority="305" dxfId="2" stopIfTrue="1">
      <formula>$K385="Л2"</formula>
    </cfRule>
  </conditionalFormatting>
  <conditionalFormatting sqref="B386:I386">
    <cfRule type="expression" priority="318" dxfId="0" stopIfTrue="1">
      <formula>$K386="Л1"</formula>
    </cfRule>
    <cfRule type="expression" priority="316" dxfId="4" stopIfTrue="1">
      <formula>$K386="Л3"</formula>
    </cfRule>
    <cfRule type="expression" priority="314" dxfId="1" stopIfTrue="1">
      <formula>$K386="Л5"</formula>
    </cfRule>
    <cfRule type="expression" priority="315" dxfId="3" stopIfTrue="1">
      <formula>$K386="Л4"</formula>
    </cfRule>
  </conditionalFormatting>
  <conditionalFormatting sqref="B386:I387">
    <cfRule type="expression" priority="317" dxfId="2" stopIfTrue="1">
      <formula>$K386="Л2"</formula>
    </cfRule>
  </conditionalFormatting>
  <conditionalFormatting sqref="B387:I387">
    <cfRule type="expression" priority="328" dxfId="4" stopIfTrue="1">
      <formula>$K387="Л3"</formula>
    </cfRule>
    <cfRule type="expression" priority="330" dxfId="0" stopIfTrue="1">
      <formula>$K387="Л1"</formula>
    </cfRule>
    <cfRule type="expression" priority="326" dxfId="1" stopIfTrue="1">
      <formula>$K387="Л5"</formula>
    </cfRule>
    <cfRule type="expression" priority="327" dxfId="3" stopIfTrue="1">
      <formula>$K387="Л4"</formula>
    </cfRule>
  </conditionalFormatting>
  <conditionalFormatting sqref="B387:I388">
    <cfRule type="expression" priority="329" dxfId="2" stopIfTrue="1">
      <formula>$K387="Л2"</formula>
    </cfRule>
  </conditionalFormatting>
  <conditionalFormatting sqref="B388:I388">
    <cfRule type="expression" priority="338" dxfId="1" stopIfTrue="1">
      <formula>$K388="Л5"</formula>
    </cfRule>
    <cfRule type="expression" priority="339" dxfId="3" stopIfTrue="1">
      <formula>$K388="Л4"</formula>
    </cfRule>
    <cfRule type="expression" priority="340" dxfId="4" stopIfTrue="1">
      <formula>$K388="Л3"</formula>
    </cfRule>
    <cfRule type="expression" priority="341" dxfId="2" stopIfTrue="1">
      <formula>$K388="Л2"</formula>
    </cfRule>
    <cfRule type="expression" priority="342" dxfId="0" stopIfTrue="1">
      <formula>$K388="Л1"</formula>
    </cfRule>
  </conditionalFormatting>
  <conditionalFormatting sqref="B389:I391">
    <cfRule type="expression" priority="413" dxfId="2" stopIfTrue="1">
      <formula>$K389="Л2"</formula>
    </cfRule>
  </conditionalFormatting>
  <conditionalFormatting sqref="B390:I390">
    <cfRule type="expression" priority="409" dxfId="2" stopIfTrue="1">
      <formula>$K390="Л2"</formula>
    </cfRule>
    <cfRule type="expression" priority="410" dxfId="1" stopIfTrue="1">
      <formula>$K390="Л5"</formula>
    </cfRule>
    <cfRule type="expression" priority="411" dxfId="3" stopIfTrue="1">
      <formula>$K390="Л4"</formula>
    </cfRule>
    <cfRule type="expression" priority="412" dxfId="4" stopIfTrue="1">
      <formula>$K390="Л3"</formula>
    </cfRule>
    <cfRule type="expression" priority="414" dxfId="0" stopIfTrue="1">
      <formula>$K390="Л1"</formula>
    </cfRule>
  </conditionalFormatting>
  <conditionalFormatting sqref="B391:I391">
    <cfRule type="expression" priority="425" dxfId="2" stopIfTrue="1">
      <formula>$K391="Л2"</formula>
    </cfRule>
    <cfRule type="expression" priority="426" dxfId="0" stopIfTrue="1">
      <formula>$K391="Л1"</formula>
    </cfRule>
    <cfRule type="expression" priority="424" dxfId="4" stopIfTrue="1">
      <formula>$K391="Л3"</formula>
    </cfRule>
    <cfRule type="expression" priority="423" dxfId="3" stopIfTrue="1">
      <formula>$K391="Л4"</formula>
    </cfRule>
    <cfRule type="expression" priority="422" dxfId="1" stopIfTrue="1">
      <formula>$K391="Л5"</formula>
    </cfRule>
  </conditionalFormatting>
  <conditionalFormatting sqref="B392:I394">
    <cfRule type="expression" priority="461" dxfId="2" stopIfTrue="1">
      <formula>$K392="Л2"</formula>
    </cfRule>
  </conditionalFormatting>
  <conditionalFormatting sqref="B393:I393">
    <cfRule type="expression" priority="459" dxfId="3" stopIfTrue="1">
      <formula>$K393="Л4"</formula>
    </cfRule>
    <cfRule type="expression" priority="458" dxfId="1" stopIfTrue="1">
      <formula>$K393="Л5"</formula>
    </cfRule>
    <cfRule type="expression" priority="457" dxfId="2" stopIfTrue="1">
      <formula>$K393="Л2"</formula>
    </cfRule>
    <cfRule type="expression" priority="462" dxfId="0" stopIfTrue="1">
      <formula>$K393="Л1"</formula>
    </cfRule>
    <cfRule type="expression" priority="460" dxfId="4" stopIfTrue="1">
      <formula>$K393="Л3"</formula>
    </cfRule>
  </conditionalFormatting>
  <conditionalFormatting sqref="B394:I394">
    <cfRule type="expression" priority="470" dxfId="1" stopIfTrue="1">
      <formula>$K394="Л5"</formula>
    </cfRule>
    <cfRule type="expression" priority="474" dxfId="0" stopIfTrue="1">
      <formula>$K394="Л1"</formula>
    </cfRule>
    <cfRule type="expression" priority="471" dxfId="3" stopIfTrue="1">
      <formula>$K394="Л4"</formula>
    </cfRule>
    <cfRule type="expression" priority="473" dxfId="2" stopIfTrue="1">
      <formula>$K394="Л2"</formula>
    </cfRule>
    <cfRule type="expression" priority="472" dxfId="4" stopIfTrue="1">
      <formula>$K394="Л3"</formula>
    </cfRule>
  </conditionalFormatting>
  <conditionalFormatting sqref="B395:I395">
    <cfRule type="expression" priority="435" dxfId="3" stopIfTrue="1">
      <formula>$K395="Л4"</formula>
    </cfRule>
    <cfRule type="expression" priority="434" dxfId="1" stopIfTrue="1">
      <formula>$K395="Л5"</formula>
    </cfRule>
    <cfRule type="expression" priority="433" dxfId="2" stopIfTrue="1">
      <formula>$K395="Л2"</formula>
    </cfRule>
    <cfRule type="expression" priority="436" dxfId="4" stopIfTrue="1">
      <formula>$K395="Л3"</formula>
    </cfRule>
    <cfRule type="expression" priority="438" dxfId="0" stopIfTrue="1">
      <formula>$K395="Л1"</formula>
    </cfRule>
  </conditionalFormatting>
  <conditionalFormatting sqref="B395:I396">
    <cfRule type="expression" priority="437" dxfId="2" stopIfTrue="1">
      <formula>$K395="Л2"</formula>
    </cfRule>
  </conditionalFormatting>
  <conditionalFormatting sqref="B396:I396">
    <cfRule type="expression" priority="450" dxfId="0" stopIfTrue="1">
      <formula>$K396="Л1"</formula>
    </cfRule>
    <cfRule type="expression" priority="446" dxfId="1" stopIfTrue="1">
      <formula>$K396="Л5"</formula>
    </cfRule>
    <cfRule type="expression" priority="447" dxfId="3" stopIfTrue="1">
      <formula>$K396="Л4"</formula>
    </cfRule>
    <cfRule type="expression" priority="448" dxfId="4" stopIfTrue="1">
      <formula>$K396="Л3"</formula>
    </cfRule>
  </conditionalFormatting>
  <conditionalFormatting sqref="B396:I397">
    <cfRule type="expression" priority="449" dxfId="2" stopIfTrue="1">
      <formula>$K396="Л2"</formula>
    </cfRule>
  </conditionalFormatting>
  <conditionalFormatting sqref="B397:I397">
    <cfRule type="expression" priority="486" dxfId="0" stopIfTrue="1">
      <formula>$K397="Л1"</formula>
    </cfRule>
    <cfRule type="expression" priority="482" dxfId="1" stopIfTrue="1">
      <formula>$K397="Л5"</formula>
    </cfRule>
    <cfRule type="expression" priority="483" dxfId="3" stopIfTrue="1">
      <formula>$K397="Л4"</formula>
    </cfRule>
    <cfRule type="expression" priority="484" dxfId="4" stopIfTrue="1">
      <formula>$K397="Л3"</formula>
    </cfRule>
  </conditionalFormatting>
  <conditionalFormatting sqref="B397:I398">
    <cfRule type="expression" priority="485" dxfId="2" stopIfTrue="1">
      <formula>$K397="Л2"</formula>
    </cfRule>
  </conditionalFormatting>
  <conditionalFormatting sqref="B398:I398">
    <cfRule type="expression" priority="495" dxfId="3" stopIfTrue="1">
      <formula>$K398="Л4"</formula>
    </cfRule>
    <cfRule type="expression" priority="497" dxfId="2" stopIfTrue="1">
      <formula>$K398="Л2"</formula>
    </cfRule>
    <cfRule type="expression" priority="494" dxfId="1" stopIfTrue="1">
      <formula>$K398="Л5"</formula>
    </cfRule>
    <cfRule type="expression" priority="498" dxfId="0" stopIfTrue="1">
      <formula>$K398="Л1"</formula>
    </cfRule>
    <cfRule type="expression" priority="496" dxfId="4" stopIfTrue="1">
      <formula>$K398="Л3"</formula>
    </cfRule>
  </conditionalFormatting>
  <conditionalFormatting sqref="B399:I401">
    <cfRule type="expression" priority="533" dxfId="2" stopIfTrue="1">
      <formula>$K399="Л2"</formula>
    </cfRule>
  </conditionalFormatting>
  <conditionalFormatting sqref="B400:I400">
    <cfRule type="expression" priority="530" dxfId="1" stopIfTrue="1">
      <formula>$K400="Л5"</formula>
    </cfRule>
    <cfRule type="expression" priority="531" dxfId="3" stopIfTrue="1">
      <formula>$K400="Л4"</formula>
    </cfRule>
    <cfRule type="expression" priority="534" dxfId="0" stopIfTrue="1">
      <formula>$K400="Л1"</formula>
    </cfRule>
    <cfRule type="expression" priority="532" dxfId="4" stopIfTrue="1">
      <formula>$K400="Л3"</formula>
    </cfRule>
    <cfRule type="expression" priority="529" dxfId="2" stopIfTrue="1">
      <formula>$K400="Л2"</formula>
    </cfRule>
  </conditionalFormatting>
  <conditionalFormatting sqref="B401:I401">
    <cfRule type="expression" priority="543" dxfId="3" stopIfTrue="1">
      <formula>$K401="Л4"</formula>
    </cfRule>
    <cfRule type="expression" priority="542" dxfId="1" stopIfTrue="1">
      <formula>$K401="Л5"</formula>
    </cfRule>
    <cfRule type="expression" priority="544" dxfId="4" stopIfTrue="1">
      <formula>$K401="Л3"</formula>
    </cfRule>
    <cfRule type="expression" priority="546" dxfId="0" stopIfTrue="1">
      <formula>$K401="Л1"</formula>
    </cfRule>
  </conditionalFormatting>
  <conditionalFormatting sqref="B401:I402">
    <cfRule type="expression" priority="545" dxfId="2" stopIfTrue="1">
      <formula>$K401="Л2"</formula>
    </cfRule>
  </conditionalFormatting>
  <conditionalFormatting sqref="B403:I403">
    <cfRule type="expression" priority="507" dxfId="3" stopIfTrue="1">
      <formula>$K403="Л4"</formula>
    </cfRule>
    <cfRule type="expression" priority="506" dxfId="1" stopIfTrue="1">
      <formula>$K403="Л5"</formula>
    </cfRule>
    <cfRule type="expression" priority="505" dxfId="2" stopIfTrue="1">
      <formula>$K403="Л2"</formula>
    </cfRule>
    <cfRule type="expression" priority="508" dxfId="4" stopIfTrue="1">
      <formula>$K403="Л3"</formula>
    </cfRule>
    <cfRule type="expression" priority="510" dxfId="0" stopIfTrue="1">
      <formula>$K403="Л1"</formula>
    </cfRule>
  </conditionalFormatting>
  <conditionalFormatting sqref="B403:I404">
    <cfRule type="expression" priority="509" dxfId="2" stopIfTrue="1">
      <formula>$K403="Л2"</formula>
    </cfRule>
  </conditionalFormatting>
  <conditionalFormatting sqref="B404:I404">
    <cfRule type="expression" priority="518" dxfId="1" stopIfTrue="1">
      <formula>$K404="Л5"</formula>
    </cfRule>
    <cfRule type="expression" priority="519" dxfId="3" stopIfTrue="1">
      <formula>$K404="Л4"</formula>
    </cfRule>
    <cfRule type="expression" priority="520" dxfId="4" stopIfTrue="1">
      <formula>$K404="Л3"</formula>
    </cfRule>
    <cfRule type="expression" priority="522" dxfId="0" stopIfTrue="1">
      <formula>$K404="Л1"</formula>
    </cfRule>
  </conditionalFormatting>
  <conditionalFormatting sqref="B404:I407">
    <cfRule type="expression" priority="521" dxfId="2" stopIfTrue="1">
      <formula>$K404="Л2"</formula>
    </cfRule>
  </conditionalFormatting>
  <conditionalFormatting sqref="B408:I415">
    <cfRule type="expression" priority="2201" dxfId="2" stopIfTrue="1">
      <formula>$K408="Л2"</formula>
    </cfRule>
  </conditionalFormatting>
  <conditionalFormatting sqref="B410:I410">
    <cfRule type="expression" priority="2198" dxfId="1" stopIfTrue="1">
      <formula>$K410="Л5"</formula>
    </cfRule>
    <cfRule type="expression" priority="2199" dxfId="3" stopIfTrue="1">
      <formula>$K410="Л4"</formula>
    </cfRule>
    <cfRule type="expression" priority="2200" dxfId="4" stopIfTrue="1">
      <formula>$K410="Л3"</formula>
    </cfRule>
    <cfRule type="expression" priority="2202" dxfId="0" stopIfTrue="1">
      <formula>$K410="Л1"</formula>
    </cfRule>
    <cfRule type="expression" priority="2197" dxfId="2" stopIfTrue="1">
      <formula>$K410="Л2"</formula>
    </cfRule>
  </conditionalFormatting>
  <conditionalFormatting sqref="B416:I416">
    <cfRule type="expression" priority="2187" dxfId="3" stopIfTrue="1">
      <formula>$K416="Л4"</formula>
    </cfRule>
    <cfRule type="expression" priority="2185" dxfId="2" stopIfTrue="1">
      <formula>$K416="Л2"</formula>
    </cfRule>
    <cfRule type="expression" priority="2186" dxfId="1" stopIfTrue="1">
      <formula>$K416="Л5"</formula>
    </cfRule>
    <cfRule type="expression" priority="2188" dxfId="4" stopIfTrue="1">
      <formula>$K416="Л3"</formula>
    </cfRule>
    <cfRule type="expression" priority="2190" dxfId="0" stopIfTrue="1">
      <formula>$K416="Л1"</formula>
    </cfRule>
    <cfRule type="expression" priority="2189" dxfId="2" stopIfTrue="1">
      <formula>$K416="Л2"</formula>
    </cfRule>
  </conditionalFormatting>
  <conditionalFormatting sqref="B417:I420">
    <cfRule type="expression" priority="2345" dxfId="2" stopIfTrue="1">
      <formula>$K417="Л2"</formula>
    </cfRule>
  </conditionalFormatting>
  <conditionalFormatting sqref="B419:I420">
    <cfRule type="expression" priority="2344" dxfId="4" stopIfTrue="1">
      <formula>$K419="Л3"</formula>
    </cfRule>
    <cfRule type="expression" priority="2343" dxfId="3" stopIfTrue="1">
      <formula>$K419="Л4"</formula>
    </cfRule>
    <cfRule type="expression" priority="2346" dxfId="0" stopIfTrue="1">
      <formula>$K419="Л1"</formula>
    </cfRule>
    <cfRule type="expression" priority="2342" dxfId="1" stopIfTrue="1">
      <formula>$K419="Л5"</formula>
    </cfRule>
  </conditionalFormatting>
  <conditionalFormatting sqref="B419:I422">
    <cfRule type="expression" priority="2129" dxfId="2" stopIfTrue="1">
      <formula>$K419="Л2"</formula>
    </cfRule>
  </conditionalFormatting>
  <conditionalFormatting sqref="B421:I421">
    <cfRule type="expression" priority="2126" dxfId="1" stopIfTrue="1">
      <formula>$K421="Л5"</formula>
    </cfRule>
    <cfRule type="expression" priority="2127" dxfId="3" stopIfTrue="1">
      <formula>$K421="Л4"</formula>
    </cfRule>
    <cfRule type="expression" priority="2128" dxfId="4" stopIfTrue="1">
      <formula>$K421="Л3"</formula>
    </cfRule>
    <cfRule type="expression" priority="2130" dxfId="0" stopIfTrue="1">
      <formula>$K421="Л1"</formula>
    </cfRule>
    <cfRule type="expression" priority="2125" dxfId="2" stopIfTrue="1">
      <formula>$K421="Л2"</formula>
    </cfRule>
  </conditionalFormatting>
  <conditionalFormatting sqref="B423:I423">
    <cfRule type="expression" priority="2118" dxfId="0" stopIfTrue="1">
      <formula>$K423="Л1"</formula>
    </cfRule>
    <cfRule type="expression" priority="2116" dxfId="4" stopIfTrue="1">
      <formula>$K423="Л3"</formula>
    </cfRule>
    <cfRule type="expression" priority="2115" dxfId="3" stopIfTrue="1">
      <formula>$K423="Л4"</formula>
    </cfRule>
    <cfRule type="expression" priority="2114" dxfId="1" stopIfTrue="1">
      <formula>$K423="Л5"</formula>
    </cfRule>
    <cfRule type="expression" priority="2113" dxfId="2" stopIfTrue="1">
      <formula>$K423="Л2"</formula>
    </cfRule>
  </conditionalFormatting>
  <conditionalFormatting sqref="B423:I424">
    <cfRule type="expression" priority="2117" dxfId="2" stopIfTrue="1">
      <formula>$K423="Л2"</formula>
    </cfRule>
  </conditionalFormatting>
  <conditionalFormatting sqref="B424:I424">
    <cfRule type="expression" priority="2152" dxfId="4" stopIfTrue="1">
      <formula>$K424="Л3"</formula>
    </cfRule>
    <cfRule type="expression" priority="2154" dxfId="0" stopIfTrue="1">
      <formula>$K424="Л1"</formula>
    </cfRule>
    <cfRule type="expression" priority="2151" dxfId="3" stopIfTrue="1">
      <formula>$K424="Л4"</formula>
    </cfRule>
    <cfRule type="expression" priority="2150" dxfId="1" stopIfTrue="1">
      <formula>$K424="Л5"</formula>
    </cfRule>
  </conditionalFormatting>
  <conditionalFormatting sqref="B424:I425">
    <cfRule type="expression" priority="2153" dxfId="2" stopIfTrue="1">
      <formula>$K424="Л2"</formula>
    </cfRule>
  </conditionalFormatting>
  <conditionalFormatting sqref="B426:I426">
    <cfRule type="expression" priority="2140" dxfId="4" stopIfTrue="1">
      <formula>$K426="Л3"</formula>
    </cfRule>
    <cfRule type="expression" priority="2138" dxfId="1" stopIfTrue="1">
      <formula>$K426="Л5"</formula>
    </cfRule>
    <cfRule type="expression" priority="2137" dxfId="2" stopIfTrue="1">
      <formula>$K426="Л2"</formula>
    </cfRule>
    <cfRule type="expression" priority="2139" dxfId="3" stopIfTrue="1">
      <formula>$K426="Л4"</formula>
    </cfRule>
    <cfRule type="expression" priority="2142" dxfId="0" stopIfTrue="1">
      <formula>$K426="Л1"</formula>
    </cfRule>
  </conditionalFormatting>
  <conditionalFormatting sqref="B426:I427">
    <cfRule type="expression" priority="2141" dxfId="2" stopIfTrue="1">
      <formula>$K426="Л2"</formula>
    </cfRule>
  </conditionalFormatting>
  <conditionalFormatting sqref="B428:I428">
    <cfRule type="expression" priority="2103" dxfId="3" stopIfTrue="1">
      <formula>$K428="Л4"</formula>
    </cfRule>
    <cfRule type="expression" priority="2104" dxfId="4" stopIfTrue="1">
      <formula>$K428="Л3"</formula>
    </cfRule>
    <cfRule type="expression" priority="2102" dxfId="1" stopIfTrue="1">
      <formula>$K428="Л5"</formula>
    </cfRule>
    <cfRule type="expression" priority="2101" dxfId="2" stopIfTrue="1">
      <formula>$K428="Л2"</formula>
    </cfRule>
    <cfRule type="expression" priority="2106" dxfId="0" stopIfTrue="1">
      <formula>$K428="Л1"</formula>
    </cfRule>
  </conditionalFormatting>
  <conditionalFormatting sqref="B428:I429">
    <cfRule type="expression" priority="2105" dxfId="2" stopIfTrue="1">
      <formula>$K428="Л2"</formula>
    </cfRule>
  </conditionalFormatting>
  <conditionalFormatting sqref="B429:I429">
    <cfRule type="expression" priority="2333" dxfId="2" stopIfTrue="1">
      <formula>$K429="Л2"</formula>
    </cfRule>
    <cfRule type="expression" priority="2331" dxfId="3" stopIfTrue="1">
      <formula>$K429="Л4"</formula>
    </cfRule>
    <cfRule type="expression" priority="2330" dxfId="1" stopIfTrue="1">
      <formula>$K429="Л5"</formula>
    </cfRule>
    <cfRule type="expression" priority="2334" dxfId="0" stopIfTrue="1">
      <formula>$K429="Л1"</formula>
    </cfRule>
    <cfRule type="expression" priority="2332" dxfId="4" stopIfTrue="1">
      <formula>$K429="Л3"</formula>
    </cfRule>
  </conditionalFormatting>
  <conditionalFormatting sqref="B430:I430">
    <cfRule type="expression" priority="2090" dxfId="1" stopIfTrue="1">
      <formula>$K430="Л5"</formula>
    </cfRule>
    <cfRule type="expression" priority="2092" dxfId="4" stopIfTrue="1">
      <formula>$K430="Л3"</formula>
    </cfRule>
    <cfRule type="expression" priority="2091" dxfId="3" stopIfTrue="1">
      <formula>$K430="Л4"</formula>
    </cfRule>
    <cfRule type="expression" priority="2094" dxfId="0" stopIfTrue="1">
      <formula>$K430="Л1"</formula>
    </cfRule>
    <cfRule type="expression" priority="2089" dxfId="2" stopIfTrue="1">
      <formula>$K430="Л2"</formula>
    </cfRule>
  </conditionalFormatting>
  <conditionalFormatting sqref="B430:I431">
    <cfRule type="expression" priority="2093" dxfId="2" stopIfTrue="1">
      <formula>$K430="Л2"</formula>
    </cfRule>
  </conditionalFormatting>
  <conditionalFormatting sqref="B431:I431">
    <cfRule type="expression" priority="2225" dxfId="2" stopIfTrue="1">
      <formula>$K431="Л2"</formula>
    </cfRule>
    <cfRule type="expression" priority="2226" dxfId="0" stopIfTrue="1">
      <formula>$K431="Л1"</formula>
    </cfRule>
    <cfRule type="expression" priority="2222" dxfId="1" stopIfTrue="1">
      <formula>$K431="Л5"</formula>
    </cfRule>
    <cfRule type="expression" priority="2223" dxfId="3" stopIfTrue="1">
      <formula>$K431="Л4"</formula>
    </cfRule>
    <cfRule type="expression" priority="2224" dxfId="4" stopIfTrue="1">
      <formula>$K431="Л3"</formula>
    </cfRule>
  </conditionalFormatting>
  <conditionalFormatting sqref="B432:I434">
    <cfRule type="expression" priority="2321" dxfId="2" stopIfTrue="1">
      <formula>$K432="Л2"</formula>
    </cfRule>
  </conditionalFormatting>
  <conditionalFormatting sqref="B433:I434">
    <cfRule type="expression" priority="2319" dxfId="3" stopIfTrue="1">
      <formula>$K433="Л4"</formula>
    </cfRule>
    <cfRule type="expression" priority="2320" dxfId="4" stopIfTrue="1">
      <formula>$K433="Л3"</formula>
    </cfRule>
    <cfRule type="expression" priority="2318" dxfId="1" stopIfTrue="1">
      <formula>$K433="Л5"</formula>
    </cfRule>
    <cfRule type="expression" priority="2322" dxfId="0" stopIfTrue="1">
      <formula>$K433="Л1"</formula>
    </cfRule>
  </conditionalFormatting>
  <conditionalFormatting sqref="B433:I436">
    <cfRule type="expression" priority="2309" dxfId="2" stopIfTrue="1">
      <formula>$K433="Л2"</formula>
    </cfRule>
  </conditionalFormatting>
  <conditionalFormatting sqref="B435:I435">
    <cfRule type="expression" priority="2305" dxfId="2" stopIfTrue="1">
      <formula>$K435="Л2"</formula>
    </cfRule>
    <cfRule type="expression" priority="2310" dxfId="0" stopIfTrue="1">
      <formula>$K435="Л1"</formula>
    </cfRule>
    <cfRule type="expression" priority="2308" dxfId="4" stopIfTrue="1">
      <formula>$K435="Л3"</formula>
    </cfRule>
    <cfRule type="expression" priority="2306" dxfId="1" stopIfTrue="1">
      <formula>$K435="Л5"</formula>
    </cfRule>
    <cfRule type="expression" priority="2307" dxfId="3" stopIfTrue="1">
      <formula>$K435="Л4"</formula>
    </cfRule>
  </conditionalFormatting>
  <conditionalFormatting sqref="B437:I437">
    <cfRule type="expression" priority="2212" dxfId="4" stopIfTrue="1">
      <formula>$K437="Л3"</formula>
    </cfRule>
    <cfRule type="expression" priority="2213" dxfId="2" stopIfTrue="1">
      <formula>$K437="Л2"</formula>
    </cfRule>
    <cfRule type="expression" priority="2214" dxfId="0" stopIfTrue="1">
      <formula>$K437="Л1"</formula>
    </cfRule>
    <cfRule type="expression" priority="2210" dxfId="1" stopIfTrue="1">
      <formula>$K437="Л5"</formula>
    </cfRule>
    <cfRule type="expression" priority="2211" dxfId="3" stopIfTrue="1">
      <formula>$K437="Л4"</formula>
    </cfRule>
  </conditionalFormatting>
  <conditionalFormatting sqref="B437:I439">
    <cfRule type="expression" priority="2165" dxfId="2" stopIfTrue="1">
      <formula>$K437="Л2"</formula>
    </cfRule>
  </conditionalFormatting>
  <conditionalFormatting sqref="B438:I438">
    <cfRule type="expression" priority="2166" dxfId="0" stopIfTrue="1">
      <formula>$K438="Л1"</formula>
    </cfRule>
    <cfRule type="expression" priority="2164" dxfId="4" stopIfTrue="1">
      <formula>$K438="Л3"</formula>
    </cfRule>
    <cfRule type="expression" priority="2161" dxfId="2" stopIfTrue="1">
      <formula>$K438="Л2"</formula>
    </cfRule>
    <cfRule type="expression" priority="2162" dxfId="1" stopIfTrue="1">
      <formula>$K438="Л5"</formula>
    </cfRule>
    <cfRule type="expression" priority="2163" dxfId="3" stopIfTrue="1">
      <formula>$K438="Л4"</formula>
    </cfRule>
  </conditionalFormatting>
  <conditionalFormatting sqref="B439:I439">
    <cfRule type="expression" priority="2284" dxfId="4" stopIfTrue="1">
      <formula>$K439="Л3"</formula>
    </cfRule>
    <cfRule type="expression" priority="2286" dxfId="0" stopIfTrue="1">
      <formula>$K439="Л1"</formula>
    </cfRule>
    <cfRule type="expression" priority="2282" dxfId="1" stopIfTrue="1">
      <formula>$K439="Л5"</formula>
    </cfRule>
    <cfRule type="expression" priority="2283" dxfId="3" stopIfTrue="1">
      <formula>$K439="Л4"</formula>
    </cfRule>
  </conditionalFormatting>
  <conditionalFormatting sqref="B439:I440">
    <cfRule type="expression" priority="2285" dxfId="2" stopIfTrue="1">
      <formula>$K439="Л2"</formula>
    </cfRule>
  </conditionalFormatting>
  <conditionalFormatting sqref="B441:I441">
    <cfRule type="expression" priority="2175" dxfId="3" stopIfTrue="1">
      <formula>$K441="Л4"</formula>
    </cfRule>
    <cfRule type="expression" priority="2178" dxfId="0" stopIfTrue="1">
      <formula>$K441="Л1"</formula>
    </cfRule>
    <cfRule type="expression" priority="2177" dxfId="2" stopIfTrue="1">
      <formula>$K441="Л2"</formula>
    </cfRule>
    <cfRule type="expression" priority="2176" dxfId="4" stopIfTrue="1">
      <formula>$K441="Л3"</formula>
    </cfRule>
    <cfRule type="expression" priority="2174" dxfId="1" stopIfTrue="1">
      <formula>$K441="Л5"</formula>
    </cfRule>
    <cfRule type="expression" priority="2173" dxfId="2" stopIfTrue="1">
      <formula>$K441="Л2"</formula>
    </cfRule>
  </conditionalFormatting>
  <conditionalFormatting sqref="B442:I444">
    <cfRule type="expression" priority="2237" dxfId="2" stopIfTrue="1">
      <formula>$K442="Л2"</formula>
    </cfRule>
  </conditionalFormatting>
  <conditionalFormatting sqref="B444:I444">
    <cfRule type="expression" priority="2236" dxfId="4" stopIfTrue="1">
      <formula>$K444="Л3"</formula>
    </cfRule>
    <cfRule type="expression" priority="2235" dxfId="3" stopIfTrue="1">
      <formula>$K444="Л4"</formula>
    </cfRule>
    <cfRule type="expression" priority="2234" dxfId="1" stopIfTrue="1">
      <formula>$K444="Л5"</formula>
    </cfRule>
    <cfRule type="expression" priority="2233" dxfId="2" stopIfTrue="1">
      <formula>$K444="Л2"</formula>
    </cfRule>
    <cfRule type="expression" priority="2238" dxfId="0" stopIfTrue="1">
      <formula>$K444="Л1"</formula>
    </cfRule>
  </conditionalFormatting>
  <conditionalFormatting sqref="B445:I452 B454:I457">
    <cfRule type="expression" priority="2273" dxfId="2" stopIfTrue="1">
      <formula>$K445="Л2"</formula>
    </cfRule>
  </conditionalFormatting>
  <conditionalFormatting sqref="B449:I452 B454:I454">
    <cfRule type="expression" priority="2270" dxfId="1" stopIfTrue="1">
      <formula>$K449="Л5"</formula>
    </cfRule>
    <cfRule type="expression" priority="2271" dxfId="3" stopIfTrue="1">
      <formula>$K449="Л4"</formula>
    </cfRule>
    <cfRule type="expression" priority="2272" dxfId="4" stopIfTrue="1">
      <formula>$K449="Л3"</formula>
    </cfRule>
    <cfRule type="expression" priority="2274" dxfId="0" stopIfTrue="1">
      <formula>$K449="Л1"</formula>
    </cfRule>
  </conditionalFormatting>
  <conditionalFormatting sqref="B449:I454">
    <cfRule type="expression" priority="2261" dxfId="2" stopIfTrue="1">
      <formula>$K449="Л2"</formula>
    </cfRule>
  </conditionalFormatting>
  <conditionalFormatting sqref="B453:I453">
    <cfRule type="expression" priority="2260" dxfId="4" stopIfTrue="1">
      <formula>$K453="Л3"</formula>
    </cfRule>
    <cfRule type="expression" priority="2257" dxfId="2" stopIfTrue="1">
      <formula>$K453="Л2"</formula>
    </cfRule>
    <cfRule type="expression" priority="2258" dxfId="1" stopIfTrue="1">
      <formula>$K453="Л5"</formula>
    </cfRule>
    <cfRule type="expression" priority="2259" dxfId="3" stopIfTrue="1">
      <formula>$K453="Л4"</formula>
    </cfRule>
    <cfRule type="expression" priority="2262" dxfId="0" stopIfTrue="1">
      <formula>$K453="Л1"</formula>
    </cfRule>
  </conditionalFormatting>
  <conditionalFormatting sqref="B458:I458">
    <cfRule type="expression" priority="2250" dxfId="0" stopIfTrue="1">
      <formula>$K458="Л1"</formula>
    </cfRule>
    <cfRule type="expression" priority="2248" dxfId="4" stopIfTrue="1">
      <formula>$K458="Л3"</formula>
    </cfRule>
    <cfRule type="expression" priority="2247" dxfId="3" stopIfTrue="1">
      <formula>$K458="Л4"</formula>
    </cfRule>
    <cfRule type="expression" priority="2246" dxfId="1" stopIfTrue="1">
      <formula>$K458="Л5"</formula>
    </cfRule>
    <cfRule type="expression" priority="2245" dxfId="2" stopIfTrue="1">
      <formula>$K458="Л2"</formula>
    </cfRule>
  </conditionalFormatting>
  <conditionalFormatting sqref="B458:I462">
    <cfRule type="expression" priority="2249" dxfId="2" stopIfTrue="1">
      <formula>$K458="Л2"</formula>
    </cfRule>
  </conditionalFormatting>
  <conditionalFormatting sqref="B463:I463 B475:I475">
    <cfRule type="expression" priority="2082" dxfId="0" stopIfTrue="1">
      <formula>$K463="Л1"</formula>
    </cfRule>
    <cfRule type="expression" priority="2080" dxfId="4" stopIfTrue="1">
      <formula>$K463="Л3"</formula>
    </cfRule>
    <cfRule type="expression" priority="2079" dxfId="3" stopIfTrue="1">
      <formula>$K463="Л4"</formula>
    </cfRule>
    <cfRule type="expression" priority="2077" dxfId="2" stopIfTrue="1">
      <formula>$K463="Л2"</formula>
    </cfRule>
    <cfRule type="expression" priority="2078" dxfId="1" stopIfTrue="1">
      <formula>$K463="Л5"</formula>
    </cfRule>
  </conditionalFormatting>
  <conditionalFormatting sqref="B463:I477">
    <cfRule type="expression" priority="2081" dxfId="2" stopIfTrue="1">
      <formula>$K463="Л2"</formula>
    </cfRule>
  </conditionalFormatting>
  <conditionalFormatting sqref="B478:I478">
    <cfRule type="expression" priority="1876" dxfId="4" stopIfTrue="1">
      <formula>$K478="Л3"</formula>
    </cfRule>
    <cfRule type="expression" priority="1878" dxfId="0" stopIfTrue="1">
      <formula>$K478="Л1"</formula>
    </cfRule>
    <cfRule type="expression" priority="1875" dxfId="3" stopIfTrue="1">
      <formula>$K478="Л4"</formula>
    </cfRule>
    <cfRule type="expression" priority="1874" dxfId="1" stopIfTrue="1">
      <formula>$K478="Л5"</formula>
    </cfRule>
    <cfRule type="expression" priority="1877" dxfId="2" stopIfTrue="1">
      <formula>$K478="Л2"</formula>
    </cfRule>
  </conditionalFormatting>
  <conditionalFormatting sqref="B478:I480">
    <cfRule type="expression" priority="1865" dxfId="2" stopIfTrue="1">
      <formula>$K478="Л2"</formula>
    </cfRule>
  </conditionalFormatting>
  <conditionalFormatting sqref="B479:I479">
    <cfRule type="expression" priority="1866" dxfId="0" stopIfTrue="1">
      <formula>$K479="Л1"</formula>
    </cfRule>
    <cfRule type="expression" priority="1863" dxfId="3" stopIfTrue="1">
      <formula>$K479="Л4"</formula>
    </cfRule>
    <cfRule type="expression" priority="1861" dxfId="2" stopIfTrue="1">
      <formula>$K479="Л2"</formula>
    </cfRule>
    <cfRule type="expression" priority="1864" dxfId="4" stopIfTrue="1">
      <formula>$K479="Л3"</formula>
    </cfRule>
    <cfRule type="expression" priority="1862" dxfId="1" stopIfTrue="1">
      <formula>$K479="Л5"</formula>
    </cfRule>
  </conditionalFormatting>
  <conditionalFormatting sqref="B481:I481">
    <cfRule type="expression" priority="1780" dxfId="4" stopIfTrue="1">
      <formula>$K481="Л3"</formula>
    </cfRule>
    <cfRule type="expression" priority="1779" dxfId="3" stopIfTrue="1">
      <formula>$K481="Л4"</formula>
    </cfRule>
    <cfRule type="expression" priority="1778" dxfId="1" stopIfTrue="1">
      <formula>$K481="Л5"</formula>
    </cfRule>
    <cfRule type="expression" priority="1782" dxfId="0" stopIfTrue="1">
      <formula>$K481="Л1"</formula>
    </cfRule>
    <cfRule type="expression" priority="1781" dxfId="2" stopIfTrue="1">
      <formula>$K481="Л2"</formula>
    </cfRule>
  </conditionalFormatting>
  <conditionalFormatting sqref="B481:I483">
    <cfRule type="expression" priority="1769" dxfId="2" stopIfTrue="1">
      <formula>$K481="Л2"</formula>
    </cfRule>
  </conditionalFormatting>
  <conditionalFormatting sqref="B482:I482">
    <cfRule type="expression" priority="1770" dxfId="0" stopIfTrue="1">
      <formula>$K482="Л1"</formula>
    </cfRule>
    <cfRule type="expression" priority="1768" dxfId="4" stopIfTrue="1">
      <formula>$K482="Л3"</formula>
    </cfRule>
    <cfRule type="expression" priority="1766" dxfId="1" stopIfTrue="1">
      <formula>$K482="Л5"</formula>
    </cfRule>
    <cfRule type="expression" priority="1765" dxfId="2" stopIfTrue="1">
      <formula>$K482="Л2"</formula>
    </cfRule>
    <cfRule type="expression" priority="1767" dxfId="3" stopIfTrue="1">
      <formula>$K482="Л4"</formula>
    </cfRule>
  </conditionalFormatting>
  <conditionalFormatting sqref="B484:I484">
    <cfRule type="expression" priority="928" dxfId="4" stopIfTrue="1">
      <formula>$K484="Л3"</formula>
    </cfRule>
    <cfRule type="expression" priority="927" dxfId="3" stopIfTrue="1">
      <formula>$K484="Л4"</formula>
    </cfRule>
    <cfRule type="expression" priority="926" dxfId="1" stopIfTrue="1">
      <formula>$K484="Л5"</formula>
    </cfRule>
    <cfRule type="expression" priority="930" dxfId="0" stopIfTrue="1">
      <formula>$K484="Л1"</formula>
    </cfRule>
    <cfRule type="expression" priority="929" dxfId="2" stopIfTrue="1">
      <formula>$K484="Л2"</formula>
    </cfRule>
  </conditionalFormatting>
  <conditionalFormatting sqref="B484:I486">
    <cfRule type="expression" priority="917" dxfId="2" stopIfTrue="1">
      <formula>$K484="Л2"</formula>
    </cfRule>
  </conditionalFormatting>
  <conditionalFormatting sqref="B485:I485">
    <cfRule type="expression" priority="913" dxfId="2" stopIfTrue="1">
      <formula>$K485="Л2"</formula>
    </cfRule>
    <cfRule type="expression" priority="918" dxfId="0" stopIfTrue="1">
      <formula>$K485="Л1"</formula>
    </cfRule>
    <cfRule type="expression" priority="914" dxfId="1" stopIfTrue="1">
      <formula>$K485="Л5"</formula>
    </cfRule>
    <cfRule type="expression" priority="916" dxfId="4" stopIfTrue="1">
      <formula>$K485="Л3"</formula>
    </cfRule>
    <cfRule type="expression" priority="915" dxfId="3" stopIfTrue="1">
      <formula>$K485="Л4"</formula>
    </cfRule>
  </conditionalFormatting>
  <conditionalFormatting sqref="B487:I487">
    <cfRule type="expression" priority="906" dxfId="0" stopIfTrue="1">
      <formula>$K487="Л1"</formula>
    </cfRule>
    <cfRule type="expression" priority="905" dxfId="2" stopIfTrue="1">
      <formula>$K487="Л2"</formula>
    </cfRule>
    <cfRule type="expression" priority="904" dxfId="4" stopIfTrue="1">
      <formula>$K487="Л3"</formula>
    </cfRule>
    <cfRule type="expression" priority="903" dxfId="3" stopIfTrue="1">
      <formula>$K487="Л4"</formula>
    </cfRule>
    <cfRule type="expression" priority="902" dxfId="1" stopIfTrue="1">
      <formula>$K487="Л5"</formula>
    </cfRule>
  </conditionalFormatting>
  <conditionalFormatting sqref="B487:I488">
    <cfRule type="expression" priority="881" dxfId="2" stopIfTrue="1">
      <formula>$K487="Л2"</formula>
    </cfRule>
  </conditionalFormatting>
  <conditionalFormatting sqref="B488:I488">
    <cfRule type="expression" priority="880" dxfId="4" stopIfTrue="1">
      <formula>$K488="Л3"</formula>
    </cfRule>
    <cfRule type="expression" priority="878" dxfId="1" stopIfTrue="1">
      <formula>$K488="Л5"</formula>
    </cfRule>
    <cfRule type="expression" priority="879" dxfId="3" stopIfTrue="1">
      <formula>$K488="Л4"</formula>
    </cfRule>
    <cfRule type="expression" priority="882" dxfId="0" stopIfTrue="1">
      <formula>$K488="Л1"</formula>
    </cfRule>
  </conditionalFormatting>
  <conditionalFormatting sqref="B488:I489">
    <cfRule type="expression" priority="857" dxfId="2" stopIfTrue="1">
      <formula>$K488="Л2"</formula>
    </cfRule>
  </conditionalFormatting>
  <conditionalFormatting sqref="B489:I489">
    <cfRule type="expression" priority="858" dxfId="0" stopIfTrue="1">
      <formula>$K489="Л1"</formula>
    </cfRule>
    <cfRule type="expression" priority="856" dxfId="4" stopIfTrue="1">
      <formula>$K489="Л3"</formula>
    </cfRule>
    <cfRule type="expression" priority="855" dxfId="3" stopIfTrue="1">
      <formula>$K489="Л4"</formula>
    </cfRule>
    <cfRule type="expression" priority="854" dxfId="1" stopIfTrue="1">
      <formula>$K489="Л5"</formula>
    </cfRule>
    <cfRule type="expression" priority="853" dxfId="2" stopIfTrue="1">
      <formula>$K489="Л2"</formula>
    </cfRule>
  </conditionalFormatting>
  <conditionalFormatting sqref="B490:I490">
    <cfRule type="expression" priority="894" dxfId="0" stopIfTrue="1">
      <formula>$K490="Л1"</formula>
    </cfRule>
    <cfRule type="expression" priority="893" dxfId="2" stopIfTrue="1">
      <formula>$K490="Л2"</formula>
    </cfRule>
    <cfRule type="expression" priority="892" dxfId="4" stopIfTrue="1">
      <formula>$K490="Л3"</formula>
    </cfRule>
    <cfRule type="expression" priority="891" dxfId="3" stopIfTrue="1">
      <formula>$K490="Л4"</formula>
    </cfRule>
    <cfRule type="expression" priority="890" dxfId="1" stopIfTrue="1">
      <formula>$K490="Л5"</formula>
    </cfRule>
  </conditionalFormatting>
  <conditionalFormatting sqref="B490:I493">
    <cfRule type="expression" priority="869" dxfId="2" stopIfTrue="1">
      <formula>$K490="Л2"</formula>
    </cfRule>
  </conditionalFormatting>
  <conditionalFormatting sqref="B491:I492">
    <cfRule type="expression" priority="870" dxfId="0" stopIfTrue="1">
      <formula>$K491="Л1"</formula>
    </cfRule>
    <cfRule type="expression" priority="865" dxfId="2" stopIfTrue="1">
      <formula>$K491="Л2"</formula>
    </cfRule>
    <cfRule type="expression" priority="866" dxfId="1" stopIfTrue="1">
      <formula>$K491="Л5"</formula>
    </cfRule>
    <cfRule type="expression" priority="867" dxfId="3" stopIfTrue="1">
      <formula>$K491="Л4"</formula>
    </cfRule>
    <cfRule type="expression" priority="868" dxfId="4" stopIfTrue="1">
      <formula>$K491="Л3"</formula>
    </cfRule>
  </conditionalFormatting>
  <conditionalFormatting sqref="B494:I494">
    <cfRule type="expression" priority="846" dxfId="0" stopIfTrue="1">
      <formula>$K494="Л1"</formula>
    </cfRule>
    <cfRule type="expression" priority="845" dxfId="2" stopIfTrue="1">
      <formula>$K494="Л2"</formula>
    </cfRule>
    <cfRule type="expression" priority="844" dxfId="4" stopIfTrue="1">
      <formula>$K494="Л3"</formula>
    </cfRule>
    <cfRule type="expression" priority="843" dxfId="3" stopIfTrue="1">
      <formula>$K494="Л4"</formula>
    </cfRule>
    <cfRule type="expression" priority="842" dxfId="1" stopIfTrue="1">
      <formula>$K494="Л5"</formula>
    </cfRule>
  </conditionalFormatting>
  <conditionalFormatting sqref="B494:I496">
    <cfRule type="expression" priority="809" dxfId="2" stopIfTrue="1">
      <formula>$K494="Л2"</formula>
    </cfRule>
  </conditionalFormatting>
  <conditionalFormatting sqref="B495:I496">
    <cfRule type="expression" priority="808" dxfId="4" stopIfTrue="1">
      <formula>$K495="Л3"</formula>
    </cfRule>
    <cfRule type="expression" priority="810" dxfId="0" stopIfTrue="1">
      <formula>$K495="Л1"</formula>
    </cfRule>
    <cfRule type="expression" priority="807" dxfId="3" stopIfTrue="1">
      <formula>$K495="Л4"</formula>
    </cfRule>
    <cfRule type="expression" priority="806" dxfId="1" stopIfTrue="1">
      <formula>$K495="Л5"</formula>
    </cfRule>
    <cfRule type="expression" priority="805" dxfId="2" stopIfTrue="1">
      <formula>$K495="Л2"</formula>
    </cfRule>
  </conditionalFormatting>
  <conditionalFormatting sqref="B497:I498">
    <cfRule type="expression" priority="1853" dxfId="2" stopIfTrue="1">
      <formula>$K497="Л2"</formula>
    </cfRule>
  </conditionalFormatting>
  <conditionalFormatting sqref="B498:I498">
    <cfRule type="expression" priority="1854" dxfId="0" stopIfTrue="1">
      <formula>$K498="Л1"</formula>
    </cfRule>
    <cfRule type="expression" priority="1850" dxfId="1" stopIfTrue="1">
      <formula>$K498="Л5"</formula>
    </cfRule>
    <cfRule type="expression" priority="1851" dxfId="3" stopIfTrue="1">
      <formula>$K498="Л4"</formula>
    </cfRule>
    <cfRule type="expression" priority="1852" dxfId="4" stopIfTrue="1">
      <formula>$K498="Л3"</formula>
    </cfRule>
  </conditionalFormatting>
  <conditionalFormatting sqref="B498:I500">
    <cfRule type="expression" priority="821" dxfId="2" stopIfTrue="1">
      <formula>$K498="Л2"</formula>
    </cfRule>
  </conditionalFormatting>
  <conditionalFormatting sqref="B499:I499">
    <cfRule type="expression" priority="822" dxfId="0" stopIfTrue="1">
      <formula>$K499="Л1"</formula>
    </cfRule>
    <cfRule type="expression" priority="820" dxfId="4" stopIfTrue="1">
      <formula>$K499="Л3"</formula>
    </cfRule>
    <cfRule type="expression" priority="819" dxfId="3" stopIfTrue="1">
      <formula>$K499="Л4"</formula>
    </cfRule>
    <cfRule type="expression" priority="818" dxfId="1" stopIfTrue="1">
      <formula>$K499="Л5"</formula>
    </cfRule>
    <cfRule type="expression" priority="817" dxfId="2" stopIfTrue="1">
      <formula>$K499="Л2"</formula>
    </cfRule>
  </conditionalFormatting>
  <conditionalFormatting sqref="B500:I500">
    <cfRule type="expression" priority="1842" dxfId="0" stopIfTrue="1">
      <formula>$K500="Л1"</formula>
    </cfRule>
    <cfRule type="expression" priority="1838" dxfId="1" stopIfTrue="1">
      <formula>$K500="Л5"</formula>
    </cfRule>
    <cfRule type="expression" priority="1839" dxfId="3" stopIfTrue="1">
      <formula>$K500="Л4"</formula>
    </cfRule>
    <cfRule type="expression" priority="1840" dxfId="4" stopIfTrue="1">
      <formula>$K500="Л3"</formula>
    </cfRule>
  </conditionalFormatting>
  <conditionalFormatting sqref="B500:I501">
    <cfRule type="expression" priority="1841" dxfId="2" stopIfTrue="1">
      <formula>$K500="Л2"</formula>
    </cfRule>
  </conditionalFormatting>
  <conditionalFormatting sqref="B502:I502">
    <cfRule type="expression" priority="1803" dxfId="3" stopIfTrue="1">
      <formula>$K502="Л4"</formula>
    </cfRule>
    <cfRule type="expression" priority="1804" dxfId="4" stopIfTrue="1">
      <formula>$K502="Л3"</formula>
    </cfRule>
    <cfRule type="expression" priority="1805" dxfId="2" stopIfTrue="1">
      <formula>$K502="Л2"</formula>
    </cfRule>
    <cfRule type="expression" priority="1806" dxfId="0" stopIfTrue="1">
      <formula>$K502="Л1"</formula>
    </cfRule>
    <cfRule type="expression" priority="1802" dxfId="1" stopIfTrue="1">
      <formula>$K502="Л5"</formula>
    </cfRule>
  </conditionalFormatting>
  <conditionalFormatting sqref="B502:I503">
    <cfRule type="expression" priority="1793" dxfId="2" stopIfTrue="1">
      <formula>$K502="Л2"</formula>
    </cfRule>
  </conditionalFormatting>
  <conditionalFormatting sqref="B503:I503">
    <cfRule type="expression" priority="1791" dxfId="3" stopIfTrue="1">
      <formula>$K503="Л4"</formula>
    </cfRule>
    <cfRule type="expression" priority="1794" dxfId="0" stopIfTrue="1">
      <formula>$K503="Л1"</formula>
    </cfRule>
    <cfRule type="expression" priority="1792" dxfId="4" stopIfTrue="1">
      <formula>$K503="Л3"</formula>
    </cfRule>
    <cfRule type="expression" priority="1789" dxfId="2" stopIfTrue="1">
      <formula>$K503="Л2"</formula>
    </cfRule>
    <cfRule type="expression" priority="1790" dxfId="1" stopIfTrue="1">
      <formula>$K503="Л5"</formula>
    </cfRule>
  </conditionalFormatting>
  <conditionalFormatting sqref="B504:I505">
    <cfRule type="expression" priority="1829" dxfId="2" stopIfTrue="1">
      <formula>$K504="Л2"</formula>
    </cfRule>
  </conditionalFormatting>
  <conditionalFormatting sqref="B505:I505">
    <cfRule type="expression" priority="1827" dxfId="3" stopIfTrue="1">
      <formula>$K505="Л4"</formula>
    </cfRule>
    <cfRule type="expression" priority="1830" dxfId="0" stopIfTrue="1">
      <formula>$K505="Л1"</formula>
    </cfRule>
    <cfRule type="expression" priority="1828" dxfId="4" stopIfTrue="1">
      <formula>$K505="Л3"</formula>
    </cfRule>
    <cfRule type="expression" priority="1826" dxfId="1" stopIfTrue="1">
      <formula>$K505="Л5"</formula>
    </cfRule>
  </conditionalFormatting>
  <conditionalFormatting sqref="B505:I507">
    <cfRule type="expression" priority="1097" dxfId="2" stopIfTrue="1">
      <formula>$K505="Л2"</formula>
    </cfRule>
  </conditionalFormatting>
  <conditionalFormatting sqref="B506:I506">
    <cfRule type="expression" priority="1095" dxfId="3" stopIfTrue="1">
      <formula>$K506="Л4"</formula>
    </cfRule>
    <cfRule type="expression" priority="1096" dxfId="4" stopIfTrue="1">
      <formula>$K506="Л3"</formula>
    </cfRule>
    <cfRule type="expression" priority="1098" dxfId="0" stopIfTrue="1">
      <formula>$K506="Л1"</formula>
    </cfRule>
    <cfRule type="expression" priority="1094" dxfId="1" stopIfTrue="1">
      <formula>$K506="Л5"</formula>
    </cfRule>
    <cfRule type="expression" priority="1093" dxfId="2" stopIfTrue="1">
      <formula>$K506="Л2"</formula>
    </cfRule>
  </conditionalFormatting>
  <conditionalFormatting sqref="B507:I507">
    <cfRule type="expression" priority="1815" dxfId="3" stopIfTrue="1">
      <formula>$K507="Л4"</formula>
    </cfRule>
    <cfRule type="expression" priority="1818" dxfId="0" stopIfTrue="1">
      <formula>$K507="Л1"</formula>
    </cfRule>
    <cfRule type="expression" priority="1814" dxfId="1" stopIfTrue="1">
      <formula>$K507="Л5"</formula>
    </cfRule>
    <cfRule type="expression" priority="1816" dxfId="4" stopIfTrue="1">
      <formula>$K507="Л3"</formula>
    </cfRule>
  </conditionalFormatting>
  <conditionalFormatting sqref="B507:I508">
    <cfRule type="expression" priority="1817" dxfId="2" stopIfTrue="1">
      <formula>$K507="Л2"</formula>
    </cfRule>
  </conditionalFormatting>
  <conditionalFormatting sqref="B509:I509">
    <cfRule type="expression" priority="986" dxfId="1" stopIfTrue="1">
      <formula>$K509="Л5"</formula>
    </cfRule>
  </conditionalFormatting>
  <conditionalFormatting sqref="B509:I513">
    <cfRule type="expression" priority="957" dxfId="2" stopIfTrue="1">
      <formula>$K509="Л2"</formula>
    </cfRule>
  </conditionalFormatting>
  <conditionalFormatting sqref="B510:I510">
    <cfRule type="expression" priority="949" dxfId="2" stopIfTrue="1">
      <formula>$K510="Л2"</formula>
    </cfRule>
    <cfRule type="expression" priority="958" dxfId="0" stopIfTrue="1">
      <formula>$K510="Л1"</formula>
    </cfRule>
    <cfRule type="expression" priority="956" dxfId="4" stopIfTrue="1">
      <formula>$K510="Л3"</formula>
    </cfRule>
    <cfRule type="expression" priority="955" dxfId="3" stopIfTrue="1">
      <formula>$K510="Л4"</formula>
    </cfRule>
    <cfRule type="expression" priority="950" dxfId="1" stopIfTrue="1">
      <formula>$K510="Л5"</formula>
    </cfRule>
  </conditionalFormatting>
  <conditionalFormatting sqref="B511:I513 B515:I515">
    <cfRule type="expression" priority="969" dxfId="4" stopIfTrue="1">
      <formula>$K511="Л3"</formula>
    </cfRule>
    <cfRule type="expression" priority="970" dxfId="2" stopIfTrue="1">
      <formula>$K511="Л2"</formula>
    </cfRule>
    <cfRule type="expression" priority="962" dxfId="1" stopIfTrue="1">
      <formula>$K511="Л5"</formula>
    </cfRule>
    <cfRule type="expression" priority="971" dxfId="0" stopIfTrue="1">
      <formula>$K511="Л1"</formula>
    </cfRule>
    <cfRule type="expression" priority="968" dxfId="3" stopIfTrue="1">
      <formula>$K511="Л4"</formula>
    </cfRule>
  </conditionalFormatting>
  <conditionalFormatting sqref="B514:I514">
    <cfRule type="expression" priority="942" dxfId="0" stopIfTrue="1">
      <formula>$K514="Л1"</formula>
    </cfRule>
    <cfRule type="expression" priority="938" dxfId="1" stopIfTrue="1">
      <formula>$K514="Л5"</formula>
    </cfRule>
    <cfRule type="expression" priority="940" dxfId="4" stopIfTrue="1">
      <formula>$K514="Л3"</formula>
    </cfRule>
    <cfRule type="expression" priority="939" dxfId="3" stopIfTrue="1">
      <formula>$K514="Л4"</formula>
    </cfRule>
    <cfRule type="expression" priority="937" dxfId="2" stopIfTrue="1">
      <formula>$K514="Л2"</formula>
    </cfRule>
  </conditionalFormatting>
  <conditionalFormatting sqref="B514:I515">
    <cfRule type="expression" priority="941" dxfId="2" stopIfTrue="1">
      <formula>$K514="Л2"</formula>
    </cfRule>
  </conditionalFormatting>
  <conditionalFormatting sqref="B517:I517">
    <cfRule type="expression" priority="979" dxfId="2" stopIfTrue="1">
      <formula>$K517="Л2"</formula>
    </cfRule>
    <cfRule type="expression" priority="980" dxfId="1" stopIfTrue="1">
      <formula>$K517="Л5"</formula>
    </cfRule>
  </conditionalFormatting>
  <conditionalFormatting sqref="B518:I520">
    <cfRule type="expression" priority="1085" dxfId="2" stopIfTrue="1">
      <formula>$K518="Л2"</formula>
    </cfRule>
  </conditionalFormatting>
  <conditionalFormatting sqref="B519:I519">
    <cfRule type="expression" priority="1086" dxfId="0" stopIfTrue="1">
      <formula>$K519="Л1"</formula>
    </cfRule>
    <cfRule type="expression" priority="1081" dxfId="2" stopIfTrue="1">
      <formula>$K519="Л2"</formula>
    </cfRule>
    <cfRule type="expression" priority="1082" dxfId="1" stopIfTrue="1">
      <formula>$K519="Л5"</formula>
    </cfRule>
    <cfRule type="expression" priority="1083" dxfId="3" stopIfTrue="1">
      <formula>$K519="Л4"</formula>
    </cfRule>
    <cfRule type="expression" priority="1084" dxfId="4" stopIfTrue="1">
      <formula>$K519="Л3"</formula>
    </cfRule>
  </conditionalFormatting>
  <conditionalFormatting sqref="B521:I521">
    <cfRule type="expression" priority="1050" dxfId="0" stopIfTrue="1">
      <formula>$K521="Л1"</formula>
    </cfRule>
    <cfRule type="expression" priority="1045" dxfId="2" stopIfTrue="1">
      <formula>$K521="Л2"</formula>
    </cfRule>
    <cfRule type="expression" priority="1046" dxfId="1" stopIfTrue="1">
      <formula>$K521="Л5"</formula>
    </cfRule>
    <cfRule type="expression" priority="1047" dxfId="3" stopIfTrue="1">
      <formula>$K521="Л4"</formula>
    </cfRule>
    <cfRule type="expression" priority="1048" dxfId="4" stopIfTrue="1">
      <formula>$K521="Л3"</formula>
    </cfRule>
    <cfRule type="expression" priority="1049" dxfId="2" stopIfTrue="1">
      <formula>$K521="Л2"</formula>
    </cfRule>
  </conditionalFormatting>
  <conditionalFormatting sqref="B522:I529">
    <cfRule type="expression" priority="1073" dxfId="2" stopIfTrue="1">
      <formula>$K522="Л2"</formula>
    </cfRule>
  </conditionalFormatting>
  <conditionalFormatting sqref="B526:I526">
    <cfRule type="expression" priority="1072" dxfId="4" stopIfTrue="1">
      <formula>$K526="Л3"</formula>
    </cfRule>
    <cfRule type="expression" priority="1071" dxfId="3" stopIfTrue="1">
      <formula>$K526="Л4"</formula>
    </cfRule>
    <cfRule type="expression" priority="1069" dxfId="2" stopIfTrue="1">
      <formula>$K526="Л2"</formula>
    </cfRule>
    <cfRule type="expression" priority="1070" dxfId="1" stopIfTrue="1">
      <formula>$K526="Л5"</formula>
    </cfRule>
    <cfRule type="expression" priority="1074" dxfId="0" stopIfTrue="1">
      <formula>$K526="Л1"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Нефедов Виктор Валерьевич</dc:creator>
  <dcterms:created xsi:type="dcterms:W3CDTF">2015-06-05T18:17:20Z</dcterms:created>
  <dcterms:modified xsi:type="dcterms:W3CDTF">2026-07-30T11:56:29Z</dcterms:modified>
  <cp:lastModifiedBy>Бутримова Марина Александровна</cp:lastModifiedBy>
</cp:coreProperties>
</file>